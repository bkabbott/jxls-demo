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Consolidated Data\Current &amp; Stored Ground Water Use Reports\Current &amp; StoredGWU rs\GWUR's Excel\"/>
    </mc:Choice>
  </mc:AlternateContent>
  <bookViews>
    <workbookView xWindow="0" yWindow="0" windowWidth="19200" windowHeight="11985" activeTab="1"/>
  </bookViews>
  <sheets>
    <sheet name="Pumping Data" sheetId="2" r:id="rId1"/>
    <sheet name="Monthly Withdrawal Report" sheetId="1" r:id="rId2"/>
  </sheets>
  <definedNames>
    <definedName name="_xlnm.Print_Area" localSheetId="1">'Monthly Withdrawal Report'!$A$1:$I$92</definedName>
  </definedNames>
  <calcPr calcId="162913"/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5" i="2"/>
  <c r="I6" i="2"/>
  <c r="I7" i="2"/>
  <c r="I8" i="2"/>
  <c r="I9" i="2"/>
  <c r="I1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1" i="2"/>
  <c r="I12" i="2"/>
  <c r="I5" i="2"/>
  <c r="C9" i="1" l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B9" i="1"/>
  <c r="C41" i="1" l="1"/>
  <c r="C40" i="1"/>
  <c r="B41" i="1"/>
  <c r="B40" i="1"/>
  <c r="F40" i="1"/>
  <c r="E40" i="1"/>
  <c r="D40" i="1"/>
  <c r="C42" i="1" l="1"/>
</calcChain>
</file>

<file path=xl/sharedStrings.xml><?xml version="1.0" encoding="utf-8"?>
<sst xmlns="http://schemas.openxmlformats.org/spreadsheetml/2006/main" count="254" uniqueCount="112">
  <si>
    <t>Day of Month</t>
  </si>
  <si>
    <t xml:space="preserve">  Send to: Georgia Environmental Protection Division</t>
  </si>
  <si>
    <t xml:space="preserve">Print Name   </t>
  </si>
  <si>
    <t>Title</t>
  </si>
  <si>
    <t>Phone Number</t>
  </si>
  <si>
    <t>Fax Number</t>
  </si>
  <si>
    <t>Monthly Groundwater Withdrawal Report</t>
  </si>
  <si>
    <t>Email Address</t>
  </si>
  <si>
    <t>Contact Person:</t>
  </si>
  <si>
    <t>GW Withdrawal Permit Number:</t>
  </si>
  <si>
    <t>Grand Total from all aquifers:</t>
  </si>
  <si>
    <t>mgd</t>
  </si>
  <si>
    <t>Pumping Water Level***</t>
  </si>
  <si>
    <t>Well No.</t>
  </si>
  <si>
    <t>Date Measured</t>
  </si>
  <si>
    <t>Permit Address:</t>
  </si>
  <si>
    <t>Units</t>
  </si>
  <si>
    <t>Permit Holder:</t>
  </si>
  <si>
    <r>
      <t xml:space="preserve">  Total (MG)</t>
    </r>
    <r>
      <rPr>
        <b/>
        <sz val="10"/>
        <rFont val="Times New Roman"/>
        <family val="1"/>
      </rPr>
      <t>*</t>
    </r>
  </si>
  <si>
    <r>
      <t xml:space="preserve">  Average (MGD)</t>
    </r>
    <r>
      <rPr>
        <b/>
        <sz val="10"/>
        <rFont val="Times New Roman"/>
        <family val="1"/>
      </rPr>
      <t>**</t>
    </r>
  </si>
  <si>
    <t>For permit holders who maintain a Groundwater Use Permit that allows withdrawal from multiple aquifers, please report usage from each aquifer</t>
  </si>
  <si>
    <t>seperately.  Use the additional columns in the table below to list the aquifer name and the reported usage from that individual aquifer.</t>
  </si>
  <si>
    <t>Aquifer 4</t>
  </si>
  <si>
    <t>Aquifer 5</t>
  </si>
  <si>
    <t>Aquifer 1</t>
  </si>
  <si>
    <t>Aquifer 2</t>
  </si>
  <si>
    <t>Aquifer 3</t>
  </si>
  <si>
    <t>Static Water Level***</t>
  </si>
  <si>
    <t>ft</t>
  </si>
  <si>
    <t>Method of Measurement:</t>
  </si>
  <si>
    <t>Airline</t>
  </si>
  <si>
    <t>Probe</t>
  </si>
  <si>
    <t>Tape</t>
  </si>
  <si>
    <t>Measurement From:</t>
  </si>
  <si>
    <t>Ground</t>
  </si>
  <si>
    <t>Top of Casing</t>
  </si>
  <si>
    <t>Other (Specify</t>
  </si>
  <si>
    <t>Number of continuous hours pumped for Pumping Water Level:</t>
  </si>
  <si>
    <t>Number of hours shutdown for Static Water Level:</t>
  </si>
  <si>
    <t>Elevation:</t>
  </si>
  <si>
    <t>hrs</t>
  </si>
  <si>
    <t>*** Take readings from the highest yielding well(s), using the same well(s) each time the water measurement is recorded.  For additional wells, please follow the format listed below:</t>
  </si>
  <si>
    <t>From 16-20 wells - take readings from 4 wells</t>
  </si>
  <si>
    <t>From 11-15 wells - take readings from 3 wells</t>
  </si>
  <si>
    <t>From 6-10 wells - take eradings from 2 wells</t>
  </si>
  <si>
    <t>From 1-5 wells - take readings from ONLY 1 well</t>
  </si>
  <si>
    <t>Annual Specific Conductance:</t>
  </si>
  <si>
    <t>Temperature:</t>
  </si>
  <si>
    <t xml:space="preserve">  correct and true to the best of my knowledge.</t>
  </si>
  <si>
    <t xml:space="preserve">   I certify that all information contained on this form is</t>
  </si>
  <si>
    <t>Reported Month:</t>
  </si>
  <si>
    <t xml:space="preserve">                        Signature                                             Date</t>
  </si>
  <si>
    <t>First Well Data</t>
  </si>
  <si>
    <t>Second Well Data</t>
  </si>
  <si>
    <t>Third Well Data</t>
  </si>
  <si>
    <t>Fourth Well Data</t>
  </si>
  <si>
    <t>Fifth Well Data</t>
  </si>
  <si>
    <t>Permit No.:</t>
  </si>
  <si>
    <t>Permit Holder Name:</t>
  </si>
  <si>
    <t>Georgia Environmental Protection Division</t>
  </si>
  <si>
    <t>Water Withdrawal Permitting Program - Groundwater Unit</t>
  </si>
  <si>
    <t xml:space="preserve">             Atlanta, GA 30334-9000</t>
  </si>
  <si>
    <t xml:space="preserve">             Drinking Water &amp; Water Withdrawal Program</t>
  </si>
  <si>
    <t xml:space="preserve">             2 Martin Luther King Jr. Dr., S.E.</t>
  </si>
  <si>
    <t xml:space="preserve">             East Floyd Towers, Suite 1362</t>
  </si>
  <si>
    <t>County</t>
  </si>
  <si>
    <r>
      <t xml:space="preserve">             Engineering &amp; Permitting - </t>
    </r>
    <r>
      <rPr>
        <b/>
        <sz val="10"/>
        <rFont val="Times New Roman"/>
        <family val="1"/>
      </rPr>
      <t>Groundwater Unit</t>
    </r>
  </si>
  <si>
    <t xml:space="preserve">             E-mail: ground.water@dnr.ga.gov</t>
  </si>
  <si>
    <t xml:space="preserve">             Phone: (404) 463-1511   </t>
  </si>
  <si>
    <t xml:space="preserve">  Please submit data for each Groundwater Withdrawal Permit.    Permits that were not used must still be reported by inputting zero's for each day.</t>
  </si>
  <si>
    <t xml:space="preserve">(Aquifer name) </t>
  </si>
  <si>
    <t>Date sampled:</t>
  </si>
  <si>
    <r>
      <t xml:space="preserve"> </t>
    </r>
    <r>
      <rPr>
        <b/>
        <sz val="10"/>
        <rFont val="Times New Roman"/>
        <family val="1"/>
      </rPr>
      <t>*</t>
    </r>
    <r>
      <rPr>
        <sz val="10"/>
        <rFont val="Times New Roman"/>
        <family val="1"/>
      </rPr>
      <t>:         MG represents millions of gallons.</t>
    </r>
  </si>
  <si>
    <r>
      <t xml:space="preserve"> </t>
    </r>
    <r>
      <rPr>
        <b/>
        <sz val="10"/>
        <rFont val="Times New Roman"/>
        <family val="1"/>
      </rPr>
      <t>**</t>
    </r>
    <r>
      <rPr>
        <sz val="10"/>
        <rFont val="Times New Roman"/>
        <family val="1"/>
      </rPr>
      <t xml:space="preserve">:       MGD represents million gallons per day.  </t>
    </r>
  </si>
  <si>
    <t>Average is calculated by dividing total quantity of water</t>
  </si>
  <si>
    <t>withdrawn by the number of days in the calendar month.</t>
  </si>
  <si>
    <t xml:space="preserve">            Average = (Total in MG / Days in month)</t>
  </si>
  <si>
    <t>Enter Public Water System Identifier for water bought and/or water sold.  Enter the monthly average (in MGD) of any water purchased or sold.</t>
  </si>
  <si>
    <t>Sold water to PWSID:</t>
  </si>
  <si>
    <t>Monthly ave water sold:</t>
  </si>
  <si>
    <t xml:space="preserve">                Monthly Groundwater Withdrawal Report - Continued</t>
  </si>
  <si>
    <t>Report Month/YR:</t>
  </si>
  <si>
    <t>Purchased water from PWSID:</t>
  </si>
  <si>
    <t>Monthly ave water purchased:</t>
  </si>
  <si>
    <t>Upper Floridan                051-0010</t>
  </si>
  <si>
    <t>Miocene                      051-0013</t>
  </si>
  <si>
    <t>01/01/2000</t>
  </si>
  <si>
    <t>051-0010, 051-0013</t>
  </si>
  <si>
    <t>Effingham</t>
  </si>
  <si>
    <t>Coastal Water Co.</t>
  </si>
  <si>
    <t>119 W. Oglethorpe Ave</t>
  </si>
  <si>
    <t>Savannah, GA. 31401</t>
  </si>
  <si>
    <t>Kim Abbott</t>
  </si>
  <si>
    <r>
      <t>____________</t>
    </r>
    <r>
      <rPr>
        <u/>
        <sz val="8"/>
        <rFont val="Times New Roman"/>
        <family val="1"/>
      </rPr>
      <t>Kim Abbott_</t>
    </r>
    <r>
      <rPr>
        <sz val="8"/>
        <rFont val="Times New Roman"/>
        <family val="1"/>
      </rPr>
      <t xml:space="preserve">____________    </t>
    </r>
    <r>
      <rPr>
        <u/>
        <sz val="8"/>
        <rFont val="Times New Roman"/>
        <family val="1"/>
      </rPr>
      <t>____01/01/2000_</t>
    </r>
  </si>
  <si>
    <t>Operator</t>
  </si>
  <si>
    <r>
      <t xml:space="preserve">  (_____</t>
    </r>
    <r>
      <rPr>
        <u/>
        <sz val="8"/>
        <rFont val="Times New Roman"/>
        <family val="1"/>
      </rPr>
      <t>912_______)   _________233_____  -  _____3254_____</t>
    </r>
  </si>
  <si>
    <r>
      <t>_(____</t>
    </r>
    <r>
      <rPr>
        <u/>
        <sz val="8"/>
        <rFont val="Times New Roman"/>
        <family val="1"/>
      </rPr>
      <t>912</t>
    </r>
    <r>
      <rPr>
        <sz val="8"/>
        <rFont val="Times New Roman"/>
        <family val="1"/>
      </rPr>
      <t>_______)   ________</t>
    </r>
    <r>
      <rPr>
        <u/>
        <sz val="8"/>
        <rFont val="Times New Roman"/>
        <family val="1"/>
      </rPr>
      <t>233</t>
    </r>
    <r>
      <rPr>
        <sz val="8"/>
        <rFont val="Times New Roman"/>
        <family val="1"/>
      </rPr>
      <t>______  -  ______</t>
    </r>
    <r>
      <rPr>
        <u/>
        <sz val="8"/>
        <rFont val="Times New Roman"/>
        <family val="1"/>
      </rPr>
      <t>3254</t>
    </r>
    <r>
      <rPr>
        <sz val="8"/>
        <rFont val="Times New Roman"/>
        <family val="1"/>
      </rPr>
      <t>____</t>
    </r>
  </si>
  <si>
    <t>Date</t>
  </si>
  <si>
    <t>Well 101</t>
  </si>
  <si>
    <t>Well 102</t>
  </si>
  <si>
    <t>Well 103</t>
  </si>
  <si>
    <t>UF. Total</t>
  </si>
  <si>
    <t>M. Total</t>
  </si>
  <si>
    <t>Westwood</t>
  </si>
  <si>
    <t>EPOC</t>
  </si>
  <si>
    <t>Waterford Ct</t>
  </si>
  <si>
    <t>Well 104</t>
  </si>
  <si>
    <t>Millcreek</t>
  </si>
  <si>
    <t>Upper Floridan 051-0010</t>
  </si>
  <si>
    <t>Miocene 051-0013</t>
  </si>
  <si>
    <t>Well Sites/Aquifers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</si>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</sst>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;@"/>
    <numFmt numFmtId="165" formatCode="0.0000"/>
    <numFmt numFmtId="166" formatCode="0.000"/>
  </numFmts>
  <fonts count="22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6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  <font>
      <sz val="10"/>
      <name val="Arial"/>
    </font>
    <font>
      <sz val="14"/>
      <name val="Arial"/>
      <family val="2"/>
    </font>
    <font>
      <i/>
      <sz val="20"/>
      <name val="Arial"/>
      <family val="2"/>
    </font>
    <font>
      <b/>
      <i/>
      <sz val="16"/>
      <name val="Arial"/>
      <family val="2"/>
    </font>
    <font>
      <i/>
      <sz val="16"/>
      <name val="Arial"/>
      <family val="2"/>
    </font>
    <font>
      <sz val="16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u/>
      <sz val="12"/>
      <name val="Times New Roman"/>
      <family val="1"/>
    </font>
    <font>
      <u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FFCC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/>
  </cellStyleXfs>
  <cellXfs count="20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Border="1"/>
    <xf numFmtId="0" fontId="4" fillId="0" borderId="3" xfId="0" applyFont="1" applyBorder="1"/>
    <xf numFmtId="0" fontId="4" fillId="0" borderId="4" xfId="0" applyFont="1" applyBorder="1"/>
    <xf numFmtId="0" fontId="2" fillId="2" borderId="5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0" fontId="4" fillId="0" borderId="6" xfId="0" applyFont="1" applyBorder="1" applyAlignment="1"/>
    <xf numFmtId="0" fontId="4" fillId="0" borderId="0" xfId="0" applyFont="1" applyAlignment="1">
      <alignment wrapText="1"/>
    </xf>
    <xf numFmtId="0" fontId="2" fillId="0" borderId="7" xfId="0" applyFont="1" applyBorder="1" applyAlignment="1">
      <alignment horizontal="center"/>
    </xf>
    <xf numFmtId="0" fontId="4" fillId="0" borderId="8" xfId="0" applyFont="1" applyBorder="1"/>
    <xf numFmtId="0" fontId="6" fillId="2" borderId="9" xfId="0" applyFont="1" applyFill="1" applyBorder="1"/>
    <xf numFmtId="0" fontId="6" fillId="2" borderId="4" xfId="0" applyFont="1" applyFill="1" applyBorder="1"/>
    <xf numFmtId="0" fontId="6" fillId="2" borderId="6" xfId="0" applyFont="1" applyFill="1" applyBorder="1"/>
    <xf numFmtId="0" fontId="4" fillId="0" borderId="4" xfId="0" applyFont="1" applyBorder="1" applyAlignment="1"/>
    <xf numFmtId="0" fontId="7" fillId="0" borderId="4" xfId="0" applyFont="1" applyBorder="1" applyAlignment="1">
      <alignment horizontal="center" vertical="top"/>
    </xf>
    <xf numFmtId="0" fontId="7" fillId="0" borderId="0" xfId="0" applyFont="1" applyBorder="1" applyAlignment="1">
      <alignment horizontal="left" vertical="top"/>
    </xf>
    <xf numFmtId="0" fontId="2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3" xfId="0" applyFont="1" applyBorder="1"/>
    <xf numFmtId="0" fontId="4" fillId="2" borderId="14" xfId="0" applyFont="1" applyFill="1" applyBorder="1"/>
    <xf numFmtId="0" fontId="4" fillId="0" borderId="17" xfId="0" applyFont="1" applyBorder="1"/>
    <xf numFmtId="0" fontId="4" fillId="2" borderId="9" xfId="0" applyFont="1" applyFill="1" applyBorder="1" applyAlignment="1"/>
    <xf numFmtId="0" fontId="8" fillId="0" borderId="0" xfId="0" applyFont="1"/>
    <xf numFmtId="0" fontId="2" fillId="0" borderId="0" xfId="0" applyFont="1" applyBorder="1"/>
    <xf numFmtId="0" fontId="4" fillId="2" borderId="4" xfId="0" applyFont="1" applyFill="1" applyBorder="1" applyAlignment="1"/>
    <xf numFmtId="0" fontId="2" fillId="0" borderId="0" xfId="0" applyFont="1"/>
    <xf numFmtId="0" fontId="2" fillId="0" borderId="19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0" borderId="0" xfId="0" applyFont="1" applyBorder="1" applyAlignment="1"/>
    <xf numFmtId="0" fontId="2" fillId="2" borderId="3" xfId="0" applyFont="1" applyFill="1" applyBorder="1" applyAlignment="1">
      <alignment horizontal="right"/>
    </xf>
    <xf numFmtId="0" fontId="2" fillId="0" borderId="21" xfId="0" applyFont="1" applyBorder="1" applyAlignment="1"/>
    <xf numFmtId="0" fontId="2" fillId="0" borderId="0" xfId="0" applyFont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0" borderId="21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2" xfId="0" applyFont="1" applyBorder="1" applyAlignment="1"/>
    <xf numFmtId="0" fontId="2" fillId="0" borderId="23" xfId="0" applyFont="1" applyBorder="1" applyAlignment="1">
      <alignment horizontal="right"/>
    </xf>
    <xf numFmtId="0" fontId="2" fillId="2" borderId="23" xfId="0" applyFont="1" applyFill="1" applyBorder="1"/>
    <xf numFmtId="0" fontId="2" fillId="2" borderId="3" xfId="0" applyFont="1" applyFill="1" applyBorder="1"/>
    <xf numFmtId="0" fontId="2" fillId="2" borderId="20" xfId="0" applyFont="1" applyFill="1" applyBorder="1"/>
    <xf numFmtId="0" fontId="2" fillId="0" borderId="23" xfId="0" applyFont="1" applyBorder="1"/>
    <xf numFmtId="0" fontId="2" fillId="0" borderId="3" xfId="0" applyFont="1" applyBorder="1"/>
    <xf numFmtId="0" fontId="2" fillId="2" borderId="24" xfId="0" applyFont="1" applyFill="1" applyBorder="1" applyAlignment="1"/>
    <xf numFmtId="0" fontId="2" fillId="2" borderId="23" xfId="0" applyFont="1" applyFill="1" applyBorder="1" applyAlignment="1">
      <alignment horizontal="left"/>
    </xf>
    <xf numFmtId="0" fontId="2" fillId="2" borderId="3" xfId="0" applyFont="1" applyFill="1" applyBorder="1" applyAlignment="1"/>
    <xf numFmtId="0" fontId="2" fillId="0" borderId="4" xfId="0" applyFont="1" applyBorder="1" applyAlignment="1"/>
    <xf numFmtId="0" fontId="2" fillId="0" borderId="25" xfId="0" applyFont="1" applyBorder="1"/>
    <xf numFmtId="0" fontId="2" fillId="0" borderId="26" xfId="0" applyFont="1" applyBorder="1"/>
    <xf numFmtId="0" fontId="3" fillId="0" borderId="23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2" xfId="0" applyFill="1" applyBorder="1" applyAlignment="1"/>
    <xf numFmtId="0" fontId="2" fillId="0" borderId="28" xfId="0" applyFont="1" applyBorder="1"/>
    <xf numFmtId="0" fontId="4" fillId="0" borderId="5" xfId="0" applyFont="1" applyBorder="1"/>
    <xf numFmtId="0" fontId="4" fillId="0" borderId="29" xfId="0" applyFont="1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2" borderId="30" xfId="0" applyFont="1" applyFill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11" fillId="0" borderId="0" xfId="0" applyFont="1"/>
    <xf numFmtId="0" fontId="2" fillId="0" borderId="0" xfId="0" applyFont="1" applyFill="1"/>
    <xf numFmtId="0" fontId="0" fillId="0" borderId="0" xfId="0" applyFill="1"/>
    <xf numFmtId="0" fontId="2" fillId="0" borderId="3" xfId="0" applyFont="1" applyBorder="1" applyAlignment="1"/>
    <xf numFmtId="49" fontId="5" fillId="0" borderId="19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4" fillId="0" borderId="8" xfId="0" applyFont="1" applyFill="1" applyBorder="1" applyAlignment="1"/>
    <xf numFmtId="0" fontId="4" fillId="0" borderId="17" xfId="0" applyFont="1" applyFill="1" applyBorder="1" applyAlignment="1"/>
    <xf numFmtId="0" fontId="3" fillId="3" borderId="22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" fillId="2" borderId="24" xfId="0" applyFont="1" applyFill="1" applyBorder="1" applyAlignment="1">
      <alignment horizontal="right"/>
    </xf>
    <xf numFmtId="0" fontId="2" fillId="2" borderId="35" xfId="0" applyFont="1" applyFill="1" applyBorder="1" applyAlignment="1"/>
    <xf numFmtId="0" fontId="2" fillId="2" borderId="14" xfId="0" applyFont="1" applyFill="1" applyBorder="1" applyAlignment="1"/>
    <xf numFmtId="0" fontId="2" fillId="2" borderId="37" xfId="0" applyFont="1" applyFill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0" borderId="4" xfId="0" applyFont="1" applyBorder="1" applyAlignment="1"/>
    <xf numFmtId="0" fontId="2" fillId="2" borderId="33" xfId="0" applyFont="1" applyFill="1" applyBorder="1" applyAlignment="1">
      <alignment horizontal="right"/>
    </xf>
    <xf numFmtId="0" fontId="2" fillId="0" borderId="34" xfId="0" applyFont="1" applyBorder="1" applyAlignment="1">
      <alignment horizontal="right"/>
    </xf>
    <xf numFmtId="0" fontId="2" fillId="0" borderId="32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2" fillId="0" borderId="21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39" xfId="0" applyFont="1" applyBorder="1" applyAlignment="1">
      <alignment horizontal="center"/>
    </xf>
    <xf numFmtId="0" fontId="4" fillId="0" borderId="29" xfId="0" applyFont="1" applyBorder="1"/>
    <xf numFmtId="0" fontId="13" fillId="0" borderId="0" xfId="0" applyFont="1"/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15" fillId="0" borderId="0" xfId="0" applyFont="1" applyAlignment="1"/>
    <xf numFmtId="0" fontId="0" fillId="0" borderId="4" xfId="0" applyBorder="1" applyAlignment="1"/>
    <xf numFmtId="0" fontId="16" fillId="0" borderId="3" xfId="0" applyFont="1" applyFill="1" applyBorder="1" applyAlignment="1">
      <alignment horizontal="right"/>
    </xf>
    <xf numFmtId="0" fontId="16" fillId="0" borderId="2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right"/>
    </xf>
    <xf numFmtId="0" fontId="16" fillId="0" borderId="27" xfId="0" applyFont="1" applyFill="1" applyBorder="1" applyAlignment="1">
      <alignment horizontal="right"/>
    </xf>
    <xf numFmtId="0" fontId="17" fillId="0" borderId="27" xfId="0" applyFont="1" applyBorder="1" applyAlignment="1">
      <alignment horizontal="right"/>
    </xf>
    <xf numFmtId="0" fontId="17" fillId="0" borderId="27" xfId="0" applyFont="1" applyFill="1" applyBorder="1" applyAlignment="1"/>
    <xf numFmtId="0" fontId="18" fillId="0" borderId="27" xfId="0" applyFont="1" applyFill="1" applyBorder="1" applyAlignment="1"/>
    <xf numFmtId="0" fontId="17" fillId="0" borderId="36" xfId="0" applyFont="1" applyBorder="1" applyAlignment="1"/>
    <xf numFmtId="0" fontId="18" fillId="0" borderId="0" xfId="0" applyFont="1"/>
    <xf numFmtId="0" fontId="17" fillId="0" borderId="0" xfId="0" applyFont="1"/>
    <xf numFmtId="0" fontId="3" fillId="3" borderId="23" xfId="0" applyFont="1" applyFill="1" applyBorder="1" applyAlignment="1">
      <alignment horizontal="left"/>
    </xf>
    <xf numFmtId="0" fontId="2" fillId="0" borderId="41" xfId="0" applyFont="1" applyBorder="1"/>
    <xf numFmtId="0" fontId="4" fillId="0" borderId="41" xfId="0" applyFont="1" applyBorder="1"/>
    <xf numFmtId="0" fontId="12" fillId="0" borderId="41" xfId="0" applyFont="1" applyBorder="1"/>
    <xf numFmtId="0" fontId="0" fillId="0" borderId="41" xfId="0" applyBorder="1"/>
    <xf numFmtId="0" fontId="2" fillId="0" borderId="41" xfId="0" applyFont="1" applyFill="1" applyBorder="1" applyAlignment="1"/>
    <xf numFmtId="0" fontId="4" fillId="0" borderId="41" xfId="0" applyFont="1" applyFill="1" applyBorder="1" applyAlignment="1"/>
    <xf numFmtId="0" fontId="0" fillId="3" borderId="0" xfId="0" applyFill="1" applyBorder="1" applyAlignment="1"/>
    <xf numFmtId="0" fontId="3" fillId="4" borderId="22" xfId="0" applyFont="1" applyFill="1" applyBorder="1" applyAlignment="1">
      <alignment horizontal="center"/>
    </xf>
    <xf numFmtId="0" fontId="2" fillId="4" borderId="0" xfId="0" applyFont="1" applyFill="1"/>
    <xf numFmtId="0" fontId="2" fillId="5" borderId="1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left"/>
    </xf>
    <xf numFmtId="0" fontId="2" fillId="5" borderId="0" xfId="0" applyFont="1" applyFill="1"/>
    <xf numFmtId="0" fontId="9" fillId="5" borderId="0" xfId="0" applyFont="1" applyFill="1" applyBorder="1" applyAlignment="1">
      <alignment horizontal="left"/>
    </xf>
    <xf numFmtId="0" fontId="9" fillId="5" borderId="27" xfId="0" applyFont="1" applyFill="1" applyBorder="1" applyAlignment="1">
      <alignment horizontal="right" wrapText="1"/>
    </xf>
    <xf numFmtId="0" fontId="2" fillId="5" borderId="27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right"/>
    </xf>
    <xf numFmtId="0" fontId="2" fillId="5" borderId="27" xfId="0" applyFont="1" applyFill="1" applyBorder="1" applyAlignment="1">
      <alignment horizontal="right"/>
    </xf>
    <xf numFmtId="0" fontId="6" fillId="5" borderId="27" xfId="0" applyFont="1" applyFill="1" applyBorder="1" applyAlignment="1"/>
    <xf numFmtId="0" fontId="2" fillId="5" borderId="15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/>
    </xf>
    <xf numFmtId="164" fontId="21" fillId="0" borderId="42" xfId="1" applyNumberFormat="1" applyBorder="1" applyAlignment="1">
      <alignment horizontal="center"/>
    </xf>
    <xf numFmtId="0" fontId="21" fillId="0" borderId="0" xfId="1" applyAlignment="1"/>
    <xf numFmtId="0" fontId="21" fillId="0" borderId="0" xfId="1"/>
    <xf numFmtId="0" fontId="21" fillId="0" borderId="43" xfId="1" applyBorder="1" applyAlignment="1">
      <alignment horizontal="center"/>
    </xf>
    <xf numFmtId="0" fontId="21" fillId="0" borderId="41" xfId="1" applyFont="1" applyBorder="1" applyAlignment="1">
      <alignment horizontal="center"/>
    </xf>
    <xf numFmtId="0" fontId="21" fillId="0" borderId="41" xfId="1" applyBorder="1" applyAlignment="1">
      <alignment horizontal="center"/>
    </xf>
    <xf numFmtId="3" fontId="21" fillId="0" borderId="41" xfId="1" applyNumberFormat="1" applyFont="1" applyBorder="1" applyAlignment="1">
      <alignment horizontal="center"/>
    </xf>
    <xf numFmtId="0" fontId="21" fillId="0" borderId="0" xfId="1" applyAlignment="1">
      <alignment horizontal="center"/>
    </xf>
    <xf numFmtId="164" fontId="21" fillId="0" borderId="26" xfId="1" applyNumberFormat="1" applyBorder="1" applyAlignment="1">
      <alignment horizontal="center"/>
    </xf>
    <xf numFmtId="3" fontId="21" fillId="0" borderId="44" xfId="1" applyNumberFormat="1" applyBorder="1" applyAlignment="1">
      <alignment horizontal="center"/>
    </xf>
    <xf numFmtId="3" fontId="21" fillId="0" borderId="41" xfId="1" applyNumberFormat="1" applyBorder="1" applyAlignment="1">
      <alignment horizontal="center"/>
    </xf>
    <xf numFmtId="165" fontId="21" fillId="0" borderId="0" xfId="1" applyNumberFormat="1" applyBorder="1" applyAlignment="1">
      <alignment horizontal="center"/>
    </xf>
    <xf numFmtId="166" fontId="2" fillId="0" borderId="18" xfId="0" applyNumberFormat="1" applyFont="1" applyBorder="1"/>
    <xf numFmtId="166" fontId="4" fillId="0" borderId="40" xfId="0" applyNumberFormat="1" applyFont="1" applyBorder="1" applyAlignment="1">
      <alignment horizontal="center"/>
    </xf>
    <xf numFmtId="166" fontId="4" fillId="0" borderId="29" xfId="0" applyNumberFormat="1" applyFont="1" applyBorder="1" applyAlignment="1">
      <alignment horizontal="center"/>
    </xf>
    <xf numFmtId="166" fontId="4" fillId="0" borderId="13" xfId="0" applyNumberFormat="1" applyFont="1" applyBorder="1" applyAlignment="1">
      <alignment horizontal="center"/>
    </xf>
    <xf numFmtId="166" fontId="4" fillId="0" borderId="16" xfId="0" applyNumberFormat="1" applyFont="1" applyBorder="1" applyAlignment="1">
      <alignment horizontal="center"/>
    </xf>
    <xf numFmtId="4" fontId="21" fillId="0" borderId="41" xfId="1" applyNumberFormat="1" applyBorder="1" applyAlignment="1">
      <alignment horizontal="center"/>
    </xf>
    <xf numFmtId="0" fontId="21" fillId="0" borderId="41" xfId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3" xfId="0" applyFont="1" applyBorder="1" applyAlignment="1"/>
    <xf numFmtId="0" fontId="0" fillId="0" borderId="34" xfId="0" applyBorder="1" applyAlignment="1"/>
    <xf numFmtId="0" fontId="2" fillId="0" borderId="2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4" fillId="0" borderId="24" xfId="0" applyFont="1" applyBorder="1" applyAlignment="1"/>
    <xf numFmtId="0" fontId="0" fillId="0" borderId="14" xfId="0" applyBorder="1" applyAlignment="1"/>
    <xf numFmtId="0" fontId="2" fillId="0" borderId="2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4" fillId="0" borderId="38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9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2" borderId="2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23" xfId="0" applyFont="1" applyBorder="1" applyAlignment="1"/>
    <xf numFmtId="0" fontId="10" fillId="0" borderId="22" xfId="0" applyFont="1" applyBorder="1" applyAlignment="1"/>
    <xf numFmtId="0" fontId="10" fillId="0" borderId="9" xfId="0" applyFont="1" applyBorder="1" applyAlignment="1"/>
    <xf numFmtId="0" fontId="2" fillId="2" borderId="2" xfId="0" applyFont="1" applyFill="1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20" xfId="0" applyFont="1" applyBorder="1" applyAlignment="1"/>
    <xf numFmtId="0" fontId="10" fillId="0" borderId="21" xfId="0" applyFont="1" applyBorder="1" applyAlignment="1"/>
    <xf numFmtId="0" fontId="10" fillId="0" borderId="6" xfId="0" applyFont="1" applyBorder="1" applyAlignment="1"/>
    <xf numFmtId="0" fontId="2" fillId="2" borderId="1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19" fillId="0" borderId="19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6" fontId="21" fillId="0" borderId="41" xfId="1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66</xdr:row>
          <xdr:rowOff>19050</xdr:rowOff>
        </xdr:from>
        <xdr:to>
          <xdr:col>3</xdr:col>
          <xdr:colOff>1209675</xdr:colOff>
          <xdr:row>66</xdr:row>
          <xdr:rowOff>161925</xdr:rowOff>
        </xdr:to>
        <xdr:sp macro="" textlink="">
          <xdr:nvSpPr>
            <xdr:cNvPr id="1050" name="CheckBox7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67</xdr:row>
          <xdr:rowOff>19050</xdr:rowOff>
        </xdr:from>
        <xdr:to>
          <xdr:col>3</xdr:col>
          <xdr:colOff>1209675</xdr:colOff>
          <xdr:row>67</xdr:row>
          <xdr:rowOff>161925</xdr:rowOff>
        </xdr:to>
        <xdr:sp macro="" textlink="">
          <xdr:nvSpPr>
            <xdr:cNvPr id="1051" name="CheckBox8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66</xdr:row>
          <xdr:rowOff>28575</xdr:rowOff>
        </xdr:from>
        <xdr:to>
          <xdr:col>7</xdr:col>
          <xdr:colOff>180975</xdr:colOff>
          <xdr:row>66</xdr:row>
          <xdr:rowOff>171450</xdr:rowOff>
        </xdr:to>
        <xdr:sp macro="" textlink="">
          <xdr:nvSpPr>
            <xdr:cNvPr id="1053" name="CheckBox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67</xdr:row>
          <xdr:rowOff>38100</xdr:rowOff>
        </xdr:from>
        <xdr:to>
          <xdr:col>7</xdr:col>
          <xdr:colOff>180975</xdr:colOff>
          <xdr:row>67</xdr:row>
          <xdr:rowOff>180975</xdr:rowOff>
        </xdr:to>
        <xdr:sp macro="" textlink="">
          <xdr:nvSpPr>
            <xdr:cNvPr id="1054" name="CheckBox1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66</xdr:row>
          <xdr:rowOff>28575</xdr:rowOff>
        </xdr:from>
        <xdr:to>
          <xdr:col>2</xdr:col>
          <xdr:colOff>828675</xdr:colOff>
          <xdr:row>66</xdr:row>
          <xdr:rowOff>171450</xdr:rowOff>
        </xdr:to>
        <xdr:sp macro="" textlink="">
          <xdr:nvSpPr>
            <xdr:cNvPr id="1055" name="CheckBox1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67</xdr:row>
          <xdr:rowOff>28575</xdr:rowOff>
        </xdr:from>
        <xdr:to>
          <xdr:col>2</xdr:col>
          <xdr:colOff>828675</xdr:colOff>
          <xdr:row>67</xdr:row>
          <xdr:rowOff>171450</xdr:rowOff>
        </xdr:to>
        <xdr:sp macro="" textlink="">
          <xdr:nvSpPr>
            <xdr:cNvPr id="1056" name="CheckBox1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66</xdr:row>
          <xdr:rowOff>38100</xdr:rowOff>
        </xdr:from>
        <xdr:to>
          <xdr:col>5</xdr:col>
          <xdr:colOff>485775</xdr:colOff>
          <xdr:row>66</xdr:row>
          <xdr:rowOff>171450</xdr:rowOff>
        </xdr:to>
        <xdr:sp macro="" textlink="">
          <xdr:nvSpPr>
            <xdr:cNvPr id="1058" name="CheckBox1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60</xdr:row>
          <xdr:rowOff>19050</xdr:rowOff>
        </xdr:from>
        <xdr:to>
          <xdr:col>3</xdr:col>
          <xdr:colOff>1209675</xdr:colOff>
          <xdr:row>60</xdr:row>
          <xdr:rowOff>161925</xdr:rowOff>
        </xdr:to>
        <xdr:sp macro="" textlink="">
          <xdr:nvSpPr>
            <xdr:cNvPr id="1079" name="CheckBox1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61</xdr:row>
          <xdr:rowOff>19050</xdr:rowOff>
        </xdr:from>
        <xdr:to>
          <xdr:col>3</xdr:col>
          <xdr:colOff>1209675</xdr:colOff>
          <xdr:row>61</xdr:row>
          <xdr:rowOff>161925</xdr:rowOff>
        </xdr:to>
        <xdr:sp macro="" textlink="">
          <xdr:nvSpPr>
            <xdr:cNvPr id="1080" name="CheckBox2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60</xdr:row>
          <xdr:rowOff>28575</xdr:rowOff>
        </xdr:from>
        <xdr:to>
          <xdr:col>7</xdr:col>
          <xdr:colOff>180975</xdr:colOff>
          <xdr:row>60</xdr:row>
          <xdr:rowOff>171450</xdr:rowOff>
        </xdr:to>
        <xdr:sp macro="" textlink="">
          <xdr:nvSpPr>
            <xdr:cNvPr id="1081" name="CheckBox3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61</xdr:row>
          <xdr:rowOff>38100</xdr:rowOff>
        </xdr:from>
        <xdr:to>
          <xdr:col>7</xdr:col>
          <xdr:colOff>180975</xdr:colOff>
          <xdr:row>61</xdr:row>
          <xdr:rowOff>180975</xdr:rowOff>
        </xdr:to>
        <xdr:sp macro="" textlink="">
          <xdr:nvSpPr>
            <xdr:cNvPr id="1082" name="CheckBox4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60</xdr:row>
          <xdr:rowOff>28575</xdr:rowOff>
        </xdr:from>
        <xdr:to>
          <xdr:col>2</xdr:col>
          <xdr:colOff>828675</xdr:colOff>
          <xdr:row>60</xdr:row>
          <xdr:rowOff>171450</xdr:rowOff>
        </xdr:to>
        <xdr:sp macro="" textlink="">
          <xdr:nvSpPr>
            <xdr:cNvPr id="1083" name="CheckBox5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61</xdr:row>
          <xdr:rowOff>28575</xdr:rowOff>
        </xdr:from>
        <xdr:to>
          <xdr:col>2</xdr:col>
          <xdr:colOff>828675</xdr:colOff>
          <xdr:row>61</xdr:row>
          <xdr:rowOff>171450</xdr:rowOff>
        </xdr:to>
        <xdr:sp macro="" textlink="">
          <xdr:nvSpPr>
            <xdr:cNvPr id="1084" name="CheckBox6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60</xdr:row>
          <xdr:rowOff>38100</xdr:rowOff>
        </xdr:from>
        <xdr:to>
          <xdr:col>5</xdr:col>
          <xdr:colOff>485775</xdr:colOff>
          <xdr:row>60</xdr:row>
          <xdr:rowOff>171450</xdr:rowOff>
        </xdr:to>
        <xdr:sp macro="" textlink="">
          <xdr:nvSpPr>
            <xdr:cNvPr id="1085" name="CheckBox13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72</xdr:row>
          <xdr:rowOff>19050</xdr:rowOff>
        </xdr:from>
        <xdr:to>
          <xdr:col>3</xdr:col>
          <xdr:colOff>1209675</xdr:colOff>
          <xdr:row>72</xdr:row>
          <xdr:rowOff>161925</xdr:rowOff>
        </xdr:to>
        <xdr:sp macro="" textlink="">
          <xdr:nvSpPr>
            <xdr:cNvPr id="1086" name="CheckBox15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73</xdr:row>
          <xdr:rowOff>19050</xdr:rowOff>
        </xdr:from>
        <xdr:to>
          <xdr:col>3</xdr:col>
          <xdr:colOff>1209675</xdr:colOff>
          <xdr:row>73</xdr:row>
          <xdr:rowOff>161925</xdr:rowOff>
        </xdr:to>
        <xdr:sp macro="" textlink="">
          <xdr:nvSpPr>
            <xdr:cNvPr id="1087" name="CheckBox16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72</xdr:row>
          <xdr:rowOff>28575</xdr:rowOff>
        </xdr:from>
        <xdr:to>
          <xdr:col>7</xdr:col>
          <xdr:colOff>180975</xdr:colOff>
          <xdr:row>72</xdr:row>
          <xdr:rowOff>171450</xdr:rowOff>
        </xdr:to>
        <xdr:sp macro="" textlink="">
          <xdr:nvSpPr>
            <xdr:cNvPr id="1088" name="CheckBox17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73</xdr:row>
          <xdr:rowOff>38100</xdr:rowOff>
        </xdr:from>
        <xdr:to>
          <xdr:col>7</xdr:col>
          <xdr:colOff>180975</xdr:colOff>
          <xdr:row>73</xdr:row>
          <xdr:rowOff>180975</xdr:rowOff>
        </xdr:to>
        <xdr:sp macro="" textlink="">
          <xdr:nvSpPr>
            <xdr:cNvPr id="1089" name="CheckBox18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72</xdr:row>
          <xdr:rowOff>28575</xdr:rowOff>
        </xdr:from>
        <xdr:to>
          <xdr:col>2</xdr:col>
          <xdr:colOff>828675</xdr:colOff>
          <xdr:row>72</xdr:row>
          <xdr:rowOff>171450</xdr:rowOff>
        </xdr:to>
        <xdr:sp macro="" textlink="">
          <xdr:nvSpPr>
            <xdr:cNvPr id="1090" name="CheckBox19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73</xdr:row>
          <xdr:rowOff>28575</xdr:rowOff>
        </xdr:from>
        <xdr:to>
          <xdr:col>2</xdr:col>
          <xdr:colOff>828675</xdr:colOff>
          <xdr:row>73</xdr:row>
          <xdr:rowOff>171450</xdr:rowOff>
        </xdr:to>
        <xdr:sp macro="" textlink="">
          <xdr:nvSpPr>
            <xdr:cNvPr id="1091" name="CheckBox20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72</xdr:row>
          <xdr:rowOff>38100</xdr:rowOff>
        </xdr:from>
        <xdr:to>
          <xdr:col>5</xdr:col>
          <xdr:colOff>485775</xdr:colOff>
          <xdr:row>72</xdr:row>
          <xdr:rowOff>171450</xdr:rowOff>
        </xdr:to>
        <xdr:sp macro="" textlink="">
          <xdr:nvSpPr>
            <xdr:cNvPr id="1092" name="CheckBox21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78</xdr:row>
          <xdr:rowOff>19050</xdr:rowOff>
        </xdr:from>
        <xdr:to>
          <xdr:col>3</xdr:col>
          <xdr:colOff>1209675</xdr:colOff>
          <xdr:row>78</xdr:row>
          <xdr:rowOff>161925</xdr:rowOff>
        </xdr:to>
        <xdr:sp macro="" textlink="">
          <xdr:nvSpPr>
            <xdr:cNvPr id="1093" name="CheckBox22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79</xdr:row>
          <xdr:rowOff>19050</xdr:rowOff>
        </xdr:from>
        <xdr:to>
          <xdr:col>3</xdr:col>
          <xdr:colOff>1209675</xdr:colOff>
          <xdr:row>79</xdr:row>
          <xdr:rowOff>161925</xdr:rowOff>
        </xdr:to>
        <xdr:sp macro="" textlink="">
          <xdr:nvSpPr>
            <xdr:cNvPr id="1094" name="CheckBox23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78</xdr:row>
          <xdr:rowOff>28575</xdr:rowOff>
        </xdr:from>
        <xdr:to>
          <xdr:col>7</xdr:col>
          <xdr:colOff>180975</xdr:colOff>
          <xdr:row>78</xdr:row>
          <xdr:rowOff>171450</xdr:rowOff>
        </xdr:to>
        <xdr:sp macro="" textlink="">
          <xdr:nvSpPr>
            <xdr:cNvPr id="1095" name="CheckBox24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79</xdr:row>
          <xdr:rowOff>38100</xdr:rowOff>
        </xdr:from>
        <xdr:to>
          <xdr:col>7</xdr:col>
          <xdr:colOff>180975</xdr:colOff>
          <xdr:row>79</xdr:row>
          <xdr:rowOff>180975</xdr:rowOff>
        </xdr:to>
        <xdr:sp macro="" textlink="">
          <xdr:nvSpPr>
            <xdr:cNvPr id="1096" name="CheckBox25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78</xdr:row>
          <xdr:rowOff>28575</xdr:rowOff>
        </xdr:from>
        <xdr:to>
          <xdr:col>2</xdr:col>
          <xdr:colOff>828675</xdr:colOff>
          <xdr:row>78</xdr:row>
          <xdr:rowOff>171450</xdr:rowOff>
        </xdr:to>
        <xdr:sp macro="" textlink="">
          <xdr:nvSpPr>
            <xdr:cNvPr id="1097" name="CheckBox26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79</xdr:row>
          <xdr:rowOff>28575</xdr:rowOff>
        </xdr:from>
        <xdr:to>
          <xdr:col>2</xdr:col>
          <xdr:colOff>828675</xdr:colOff>
          <xdr:row>79</xdr:row>
          <xdr:rowOff>171450</xdr:rowOff>
        </xdr:to>
        <xdr:sp macro="" textlink="">
          <xdr:nvSpPr>
            <xdr:cNvPr id="1098" name="CheckBox27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78</xdr:row>
          <xdr:rowOff>38100</xdr:rowOff>
        </xdr:from>
        <xdr:to>
          <xdr:col>5</xdr:col>
          <xdr:colOff>485775</xdr:colOff>
          <xdr:row>78</xdr:row>
          <xdr:rowOff>171450</xdr:rowOff>
        </xdr:to>
        <xdr:sp macro="" textlink="">
          <xdr:nvSpPr>
            <xdr:cNvPr id="1099" name="CheckBox28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84</xdr:row>
          <xdr:rowOff>19050</xdr:rowOff>
        </xdr:from>
        <xdr:to>
          <xdr:col>3</xdr:col>
          <xdr:colOff>1209675</xdr:colOff>
          <xdr:row>84</xdr:row>
          <xdr:rowOff>161925</xdr:rowOff>
        </xdr:to>
        <xdr:sp macro="" textlink="">
          <xdr:nvSpPr>
            <xdr:cNvPr id="1100" name="CheckBox29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85</xdr:row>
          <xdr:rowOff>19050</xdr:rowOff>
        </xdr:from>
        <xdr:to>
          <xdr:col>3</xdr:col>
          <xdr:colOff>1209675</xdr:colOff>
          <xdr:row>85</xdr:row>
          <xdr:rowOff>161925</xdr:rowOff>
        </xdr:to>
        <xdr:sp macro="" textlink="">
          <xdr:nvSpPr>
            <xdr:cNvPr id="1101" name="CheckBox30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84</xdr:row>
          <xdr:rowOff>28575</xdr:rowOff>
        </xdr:from>
        <xdr:to>
          <xdr:col>7</xdr:col>
          <xdr:colOff>180975</xdr:colOff>
          <xdr:row>84</xdr:row>
          <xdr:rowOff>171450</xdr:rowOff>
        </xdr:to>
        <xdr:sp macro="" textlink="">
          <xdr:nvSpPr>
            <xdr:cNvPr id="1102" name="CheckBox31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85</xdr:row>
          <xdr:rowOff>38100</xdr:rowOff>
        </xdr:from>
        <xdr:to>
          <xdr:col>7</xdr:col>
          <xdr:colOff>180975</xdr:colOff>
          <xdr:row>85</xdr:row>
          <xdr:rowOff>180975</xdr:rowOff>
        </xdr:to>
        <xdr:sp macro="" textlink="">
          <xdr:nvSpPr>
            <xdr:cNvPr id="1103" name="CheckBox32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84</xdr:row>
          <xdr:rowOff>28575</xdr:rowOff>
        </xdr:from>
        <xdr:to>
          <xdr:col>2</xdr:col>
          <xdr:colOff>828675</xdr:colOff>
          <xdr:row>84</xdr:row>
          <xdr:rowOff>171450</xdr:rowOff>
        </xdr:to>
        <xdr:sp macro="" textlink="">
          <xdr:nvSpPr>
            <xdr:cNvPr id="1104" name="CheckBox33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85</xdr:row>
          <xdr:rowOff>28575</xdr:rowOff>
        </xdr:from>
        <xdr:to>
          <xdr:col>2</xdr:col>
          <xdr:colOff>828675</xdr:colOff>
          <xdr:row>85</xdr:row>
          <xdr:rowOff>171450</xdr:rowOff>
        </xdr:to>
        <xdr:sp macro="" textlink="">
          <xdr:nvSpPr>
            <xdr:cNvPr id="1105" name="CheckBox34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84</xdr:row>
          <xdr:rowOff>38100</xdr:rowOff>
        </xdr:from>
        <xdr:to>
          <xdr:col>5</xdr:col>
          <xdr:colOff>485775</xdr:colOff>
          <xdr:row>84</xdr:row>
          <xdr:rowOff>171450</xdr:rowOff>
        </xdr:to>
        <xdr:sp macro="" textlink="">
          <xdr:nvSpPr>
            <xdr:cNvPr id="1106" name="CheckBox35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1038225</xdr:colOff>
      <xdr:row>7</xdr:row>
      <xdr:rowOff>133350</xdr:rowOff>
    </xdr:from>
    <xdr:to>
      <xdr:col>0</xdr:col>
      <xdr:colOff>1219200</xdr:colOff>
      <xdr:row>7</xdr:row>
      <xdr:rowOff>133350</xdr:rowOff>
    </xdr:to>
    <xdr:cxnSp macro="">
      <xdr:nvCxnSpPr>
        <xdr:cNvPr id="3" name="Straight Arrow Connector 2"/>
        <xdr:cNvCxnSpPr/>
      </xdr:nvCxnSpPr>
      <xdr:spPr bwMode="auto">
        <a:xfrm>
          <a:off x="1038225" y="1504950"/>
          <a:ext cx="1809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66" Type="http://schemas.openxmlformats.org/officeDocument/2006/relationships/control" Target="../activeX/activeX32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61" Type="http://schemas.openxmlformats.org/officeDocument/2006/relationships/image" Target="../media/image29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56" Type="http://schemas.openxmlformats.org/officeDocument/2006/relationships/control" Target="../activeX/activeX27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70" Type="http://schemas.openxmlformats.org/officeDocument/2006/relationships/control" Target="../activeX/activeX3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130" zoomScaleNormal="13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C31" sqref="C31"/>
    </sheetView>
  </sheetViews>
  <sheetFormatPr defaultRowHeight="12.75" x14ac:dyDescent="0.2"/>
  <cols>
    <col min="1" max="2" width="12.5703125" style="143" customWidth="1"/>
    <col min="3" max="3" width="10.5703125" style="143" customWidth="1"/>
    <col min="4" max="4" width="11.140625" style="143" customWidth="1"/>
    <col min="5" max="5" width="11.140625" style="143" hidden="1" customWidth="1"/>
    <col min="6" max="6" width="11.140625" style="143" customWidth="1"/>
    <col min="7" max="8" width="12.42578125" style="143" customWidth="1"/>
    <col min="9" max="13" width="9.140625" style="143"/>
    <col min="14" max="14" width="9.85546875" style="143" customWidth="1"/>
    <col min="15" max="258" width="9.140625" style="143"/>
    <col min="259" max="260" width="12.5703125" style="143" customWidth="1"/>
    <col min="261" max="261" width="10.5703125" style="143" customWidth="1"/>
    <col min="262" max="262" width="11.140625" style="143" customWidth="1"/>
    <col min="263" max="263" width="0" style="143" hidden="1" customWidth="1"/>
    <col min="264" max="264" width="12.42578125" style="143" customWidth="1"/>
    <col min="265" max="269" width="9.140625" style="143"/>
    <col min="270" max="270" width="9.85546875" style="143" customWidth="1"/>
    <col min="271" max="514" width="9.140625" style="143"/>
    <col min="515" max="516" width="12.5703125" style="143" customWidth="1"/>
    <col min="517" max="517" width="10.5703125" style="143" customWidth="1"/>
    <col min="518" max="518" width="11.140625" style="143" customWidth="1"/>
    <col min="519" max="519" width="0" style="143" hidden="1" customWidth="1"/>
    <col min="520" max="520" width="12.42578125" style="143" customWidth="1"/>
    <col min="521" max="525" width="9.140625" style="143"/>
    <col min="526" max="526" width="9.85546875" style="143" customWidth="1"/>
    <col min="527" max="770" width="9.140625" style="143"/>
    <col min="771" max="772" width="12.5703125" style="143" customWidth="1"/>
    <col min="773" max="773" width="10.5703125" style="143" customWidth="1"/>
    <col min="774" max="774" width="11.140625" style="143" customWidth="1"/>
    <col min="775" max="775" width="0" style="143" hidden="1" customWidth="1"/>
    <col min="776" max="776" width="12.42578125" style="143" customWidth="1"/>
    <col min="777" max="781" width="9.140625" style="143"/>
    <col min="782" max="782" width="9.85546875" style="143" customWidth="1"/>
    <col min="783" max="1026" width="9.140625" style="143"/>
    <col min="1027" max="1028" width="12.5703125" style="143" customWidth="1"/>
    <col min="1029" max="1029" width="10.5703125" style="143" customWidth="1"/>
    <col min="1030" max="1030" width="11.140625" style="143" customWidth="1"/>
    <col min="1031" max="1031" width="0" style="143" hidden="1" customWidth="1"/>
    <col min="1032" max="1032" width="12.42578125" style="143" customWidth="1"/>
    <col min="1033" max="1037" width="9.140625" style="143"/>
    <col min="1038" max="1038" width="9.85546875" style="143" customWidth="1"/>
    <col min="1039" max="1282" width="9.140625" style="143"/>
    <col min="1283" max="1284" width="12.5703125" style="143" customWidth="1"/>
    <col min="1285" max="1285" width="10.5703125" style="143" customWidth="1"/>
    <col min="1286" max="1286" width="11.140625" style="143" customWidth="1"/>
    <col min="1287" max="1287" width="0" style="143" hidden="1" customWidth="1"/>
    <col min="1288" max="1288" width="12.42578125" style="143" customWidth="1"/>
    <col min="1289" max="1293" width="9.140625" style="143"/>
    <col min="1294" max="1294" width="9.85546875" style="143" customWidth="1"/>
    <col min="1295" max="1538" width="9.140625" style="143"/>
    <col min="1539" max="1540" width="12.5703125" style="143" customWidth="1"/>
    <col min="1541" max="1541" width="10.5703125" style="143" customWidth="1"/>
    <col min="1542" max="1542" width="11.140625" style="143" customWidth="1"/>
    <col min="1543" max="1543" width="0" style="143" hidden="1" customWidth="1"/>
    <col min="1544" max="1544" width="12.42578125" style="143" customWidth="1"/>
    <col min="1545" max="1549" width="9.140625" style="143"/>
    <col min="1550" max="1550" width="9.85546875" style="143" customWidth="1"/>
    <col min="1551" max="1794" width="9.140625" style="143"/>
    <col min="1795" max="1796" width="12.5703125" style="143" customWidth="1"/>
    <col min="1797" max="1797" width="10.5703125" style="143" customWidth="1"/>
    <col min="1798" max="1798" width="11.140625" style="143" customWidth="1"/>
    <col min="1799" max="1799" width="0" style="143" hidden="1" customWidth="1"/>
    <col min="1800" max="1800" width="12.42578125" style="143" customWidth="1"/>
    <col min="1801" max="1805" width="9.140625" style="143"/>
    <col min="1806" max="1806" width="9.85546875" style="143" customWidth="1"/>
    <col min="1807" max="2050" width="9.140625" style="143"/>
    <col min="2051" max="2052" width="12.5703125" style="143" customWidth="1"/>
    <col min="2053" max="2053" width="10.5703125" style="143" customWidth="1"/>
    <col min="2054" max="2054" width="11.140625" style="143" customWidth="1"/>
    <col min="2055" max="2055" width="0" style="143" hidden="1" customWidth="1"/>
    <col min="2056" max="2056" width="12.42578125" style="143" customWidth="1"/>
    <col min="2057" max="2061" width="9.140625" style="143"/>
    <col min="2062" max="2062" width="9.85546875" style="143" customWidth="1"/>
    <col min="2063" max="2306" width="9.140625" style="143"/>
    <col min="2307" max="2308" width="12.5703125" style="143" customWidth="1"/>
    <col min="2309" max="2309" width="10.5703125" style="143" customWidth="1"/>
    <col min="2310" max="2310" width="11.140625" style="143" customWidth="1"/>
    <col min="2311" max="2311" width="0" style="143" hidden="1" customWidth="1"/>
    <col min="2312" max="2312" width="12.42578125" style="143" customWidth="1"/>
    <col min="2313" max="2317" width="9.140625" style="143"/>
    <col min="2318" max="2318" width="9.85546875" style="143" customWidth="1"/>
    <col min="2319" max="2562" width="9.140625" style="143"/>
    <col min="2563" max="2564" width="12.5703125" style="143" customWidth="1"/>
    <col min="2565" max="2565" width="10.5703125" style="143" customWidth="1"/>
    <col min="2566" max="2566" width="11.140625" style="143" customWidth="1"/>
    <col min="2567" max="2567" width="0" style="143" hidden="1" customWidth="1"/>
    <col min="2568" max="2568" width="12.42578125" style="143" customWidth="1"/>
    <col min="2569" max="2573" width="9.140625" style="143"/>
    <col min="2574" max="2574" width="9.85546875" style="143" customWidth="1"/>
    <col min="2575" max="2818" width="9.140625" style="143"/>
    <col min="2819" max="2820" width="12.5703125" style="143" customWidth="1"/>
    <col min="2821" max="2821" width="10.5703125" style="143" customWidth="1"/>
    <col min="2822" max="2822" width="11.140625" style="143" customWidth="1"/>
    <col min="2823" max="2823" width="0" style="143" hidden="1" customWidth="1"/>
    <col min="2824" max="2824" width="12.42578125" style="143" customWidth="1"/>
    <col min="2825" max="2829" width="9.140625" style="143"/>
    <col min="2830" max="2830" width="9.85546875" style="143" customWidth="1"/>
    <col min="2831" max="3074" width="9.140625" style="143"/>
    <col min="3075" max="3076" width="12.5703125" style="143" customWidth="1"/>
    <col min="3077" max="3077" width="10.5703125" style="143" customWidth="1"/>
    <col min="3078" max="3078" width="11.140625" style="143" customWidth="1"/>
    <col min="3079" max="3079" width="0" style="143" hidden="1" customWidth="1"/>
    <col min="3080" max="3080" width="12.42578125" style="143" customWidth="1"/>
    <col min="3081" max="3085" width="9.140625" style="143"/>
    <col min="3086" max="3086" width="9.85546875" style="143" customWidth="1"/>
    <col min="3087" max="3330" width="9.140625" style="143"/>
    <col min="3331" max="3332" width="12.5703125" style="143" customWidth="1"/>
    <col min="3333" max="3333" width="10.5703125" style="143" customWidth="1"/>
    <col min="3334" max="3334" width="11.140625" style="143" customWidth="1"/>
    <col min="3335" max="3335" width="0" style="143" hidden="1" customWidth="1"/>
    <col min="3336" max="3336" width="12.42578125" style="143" customWidth="1"/>
    <col min="3337" max="3341" width="9.140625" style="143"/>
    <col min="3342" max="3342" width="9.85546875" style="143" customWidth="1"/>
    <col min="3343" max="3586" width="9.140625" style="143"/>
    <col min="3587" max="3588" width="12.5703125" style="143" customWidth="1"/>
    <col min="3589" max="3589" width="10.5703125" style="143" customWidth="1"/>
    <col min="3590" max="3590" width="11.140625" style="143" customWidth="1"/>
    <col min="3591" max="3591" width="0" style="143" hidden="1" customWidth="1"/>
    <col min="3592" max="3592" width="12.42578125" style="143" customWidth="1"/>
    <col min="3593" max="3597" width="9.140625" style="143"/>
    <col min="3598" max="3598" width="9.85546875" style="143" customWidth="1"/>
    <col min="3599" max="3842" width="9.140625" style="143"/>
    <col min="3843" max="3844" width="12.5703125" style="143" customWidth="1"/>
    <col min="3845" max="3845" width="10.5703125" style="143" customWidth="1"/>
    <col min="3846" max="3846" width="11.140625" style="143" customWidth="1"/>
    <col min="3847" max="3847" width="0" style="143" hidden="1" customWidth="1"/>
    <col min="3848" max="3848" width="12.42578125" style="143" customWidth="1"/>
    <col min="3849" max="3853" width="9.140625" style="143"/>
    <col min="3854" max="3854" width="9.85546875" style="143" customWidth="1"/>
    <col min="3855" max="4098" width="9.140625" style="143"/>
    <col min="4099" max="4100" width="12.5703125" style="143" customWidth="1"/>
    <col min="4101" max="4101" width="10.5703125" style="143" customWidth="1"/>
    <col min="4102" max="4102" width="11.140625" style="143" customWidth="1"/>
    <col min="4103" max="4103" width="0" style="143" hidden="1" customWidth="1"/>
    <col min="4104" max="4104" width="12.42578125" style="143" customWidth="1"/>
    <col min="4105" max="4109" width="9.140625" style="143"/>
    <col min="4110" max="4110" width="9.85546875" style="143" customWidth="1"/>
    <col min="4111" max="4354" width="9.140625" style="143"/>
    <col min="4355" max="4356" width="12.5703125" style="143" customWidth="1"/>
    <col min="4357" max="4357" width="10.5703125" style="143" customWidth="1"/>
    <col min="4358" max="4358" width="11.140625" style="143" customWidth="1"/>
    <col min="4359" max="4359" width="0" style="143" hidden="1" customWidth="1"/>
    <col min="4360" max="4360" width="12.42578125" style="143" customWidth="1"/>
    <col min="4361" max="4365" width="9.140625" style="143"/>
    <col min="4366" max="4366" width="9.85546875" style="143" customWidth="1"/>
    <col min="4367" max="4610" width="9.140625" style="143"/>
    <col min="4611" max="4612" width="12.5703125" style="143" customWidth="1"/>
    <col min="4613" max="4613" width="10.5703125" style="143" customWidth="1"/>
    <col min="4614" max="4614" width="11.140625" style="143" customWidth="1"/>
    <col min="4615" max="4615" width="0" style="143" hidden="1" customWidth="1"/>
    <col min="4616" max="4616" width="12.42578125" style="143" customWidth="1"/>
    <col min="4617" max="4621" width="9.140625" style="143"/>
    <col min="4622" max="4622" width="9.85546875" style="143" customWidth="1"/>
    <col min="4623" max="4866" width="9.140625" style="143"/>
    <col min="4867" max="4868" width="12.5703125" style="143" customWidth="1"/>
    <col min="4869" max="4869" width="10.5703125" style="143" customWidth="1"/>
    <col min="4870" max="4870" width="11.140625" style="143" customWidth="1"/>
    <col min="4871" max="4871" width="0" style="143" hidden="1" customWidth="1"/>
    <col min="4872" max="4872" width="12.42578125" style="143" customWidth="1"/>
    <col min="4873" max="4877" width="9.140625" style="143"/>
    <col min="4878" max="4878" width="9.85546875" style="143" customWidth="1"/>
    <col min="4879" max="5122" width="9.140625" style="143"/>
    <col min="5123" max="5124" width="12.5703125" style="143" customWidth="1"/>
    <col min="5125" max="5125" width="10.5703125" style="143" customWidth="1"/>
    <col min="5126" max="5126" width="11.140625" style="143" customWidth="1"/>
    <col min="5127" max="5127" width="0" style="143" hidden="1" customWidth="1"/>
    <col min="5128" max="5128" width="12.42578125" style="143" customWidth="1"/>
    <col min="5129" max="5133" width="9.140625" style="143"/>
    <col min="5134" max="5134" width="9.85546875" style="143" customWidth="1"/>
    <col min="5135" max="5378" width="9.140625" style="143"/>
    <col min="5379" max="5380" width="12.5703125" style="143" customWidth="1"/>
    <col min="5381" max="5381" width="10.5703125" style="143" customWidth="1"/>
    <col min="5382" max="5382" width="11.140625" style="143" customWidth="1"/>
    <col min="5383" max="5383" width="0" style="143" hidden="1" customWidth="1"/>
    <col min="5384" max="5384" width="12.42578125" style="143" customWidth="1"/>
    <col min="5385" max="5389" width="9.140625" style="143"/>
    <col min="5390" max="5390" width="9.85546875" style="143" customWidth="1"/>
    <col min="5391" max="5634" width="9.140625" style="143"/>
    <col min="5635" max="5636" width="12.5703125" style="143" customWidth="1"/>
    <col min="5637" max="5637" width="10.5703125" style="143" customWidth="1"/>
    <col min="5638" max="5638" width="11.140625" style="143" customWidth="1"/>
    <col min="5639" max="5639" width="0" style="143" hidden="1" customWidth="1"/>
    <col min="5640" max="5640" width="12.42578125" style="143" customWidth="1"/>
    <col min="5641" max="5645" width="9.140625" style="143"/>
    <col min="5646" max="5646" width="9.85546875" style="143" customWidth="1"/>
    <col min="5647" max="5890" width="9.140625" style="143"/>
    <col min="5891" max="5892" width="12.5703125" style="143" customWidth="1"/>
    <col min="5893" max="5893" width="10.5703125" style="143" customWidth="1"/>
    <col min="5894" max="5894" width="11.140625" style="143" customWidth="1"/>
    <col min="5895" max="5895" width="0" style="143" hidden="1" customWidth="1"/>
    <col min="5896" max="5896" width="12.42578125" style="143" customWidth="1"/>
    <col min="5897" max="5901" width="9.140625" style="143"/>
    <col min="5902" max="5902" width="9.85546875" style="143" customWidth="1"/>
    <col min="5903" max="6146" width="9.140625" style="143"/>
    <col min="6147" max="6148" width="12.5703125" style="143" customWidth="1"/>
    <col min="6149" max="6149" width="10.5703125" style="143" customWidth="1"/>
    <col min="6150" max="6150" width="11.140625" style="143" customWidth="1"/>
    <col min="6151" max="6151" width="0" style="143" hidden="1" customWidth="1"/>
    <col min="6152" max="6152" width="12.42578125" style="143" customWidth="1"/>
    <col min="6153" max="6157" width="9.140625" style="143"/>
    <col min="6158" max="6158" width="9.85546875" style="143" customWidth="1"/>
    <col min="6159" max="6402" width="9.140625" style="143"/>
    <col min="6403" max="6404" width="12.5703125" style="143" customWidth="1"/>
    <col min="6405" max="6405" width="10.5703125" style="143" customWidth="1"/>
    <col min="6406" max="6406" width="11.140625" style="143" customWidth="1"/>
    <col min="6407" max="6407" width="0" style="143" hidden="1" customWidth="1"/>
    <col min="6408" max="6408" width="12.42578125" style="143" customWidth="1"/>
    <col min="6409" max="6413" width="9.140625" style="143"/>
    <col min="6414" max="6414" width="9.85546875" style="143" customWidth="1"/>
    <col min="6415" max="6658" width="9.140625" style="143"/>
    <col min="6659" max="6660" width="12.5703125" style="143" customWidth="1"/>
    <col min="6661" max="6661" width="10.5703125" style="143" customWidth="1"/>
    <col min="6662" max="6662" width="11.140625" style="143" customWidth="1"/>
    <col min="6663" max="6663" width="0" style="143" hidden="1" customWidth="1"/>
    <col min="6664" max="6664" width="12.42578125" style="143" customWidth="1"/>
    <col min="6665" max="6669" width="9.140625" style="143"/>
    <col min="6670" max="6670" width="9.85546875" style="143" customWidth="1"/>
    <col min="6671" max="6914" width="9.140625" style="143"/>
    <col min="6915" max="6916" width="12.5703125" style="143" customWidth="1"/>
    <col min="6917" max="6917" width="10.5703125" style="143" customWidth="1"/>
    <col min="6918" max="6918" width="11.140625" style="143" customWidth="1"/>
    <col min="6919" max="6919" width="0" style="143" hidden="1" customWidth="1"/>
    <col min="6920" max="6920" width="12.42578125" style="143" customWidth="1"/>
    <col min="6921" max="6925" width="9.140625" style="143"/>
    <col min="6926" max="6926" width="9.85546875" style="143" customWidth="1"/>
    <col min="6927" max="7170" width="9.140625" style="143"/>
    <col min="7171" max="7172" width="12.5703125" style="143" customWidth="1"/>
    <col min="7173" max="7173" width="10.5703125" style="143" customWidth="1"/>
    <col min="7174" max="7174" width="11.140625" style="143" customWidth="1"/>
    <col min="7175" max="7175" width="0" style="143" hidden="1" customWidth="1"/>
    <col min="7176" max="7176" width="12.42578125" style="143" customWidth="1"/>
    <col min="7177" max="7181" width="9.140625" style="143"/>
    <col min="7182" max="7182" width="9.85546875" style="143" customWidth="1"/>
    <col min="7183" max="7426" width="9.140625" style="143"/>
    <col min="7427" max="7428" width="12.5703125" style="143" customWidth="1"/>
    <col min="7429" max="7429" width="10.5703125" style="143" customWidth="1"/>
    <col min="7430" max="7430" width="11.140625" style="143" customWidth="1"/>
    <col min="7431" max="7431" width="0" style="143" hidden="1" customWidth="1"/>
    <col min="7432" max="7432" width="12.42578125" style="143" customWidth="1"/>
    <col min="7433" max="7437" width="9.140625" style="143"/>
    <col min="7438" max="7438" width="9.85546875" style="143" customWidth="1"/>
    <col min="7439" max="7682" width="9.140625" style="143"/>
    <col min="7683" max="7684" width="12.5703125" style="143" customWidth="1"/>
    <col min="7685" max="7685" width="10.5703125" style="143" customWidth="1"/>
    <col min="7686" max="7686" width="11.140625" style="143" customWidth="1"/>
    <col min="7687" max="7687" width="0" style="143" hidden="1" customWidth="1"/>
    <col min="7688" max="7688" width="12.42578125" style="143" customWidth="1"/>
    <col min="7689" max="7693" width="9.140625" style="143"/>
    <col min="7694" max="7694" width="9.85546875" style="143" customWidth="1"/>
    <col min="7695" max="7938" width="9.140625" style="143"/>
    <col min="7939" max="7940" width="12.5703125" style="143" customWidth="1"/>
    <col min="7941" max="7941" width="10.5703125" style="143" customWidth="1"/>
    <col min="7942" max="7942" width="11.140625" style="143" customWidth="1"/>
    <col min="7943" max="7943" width="0" style="143" hidden="1" customWidth="1"/>
    <col min="7944" max="7944" width="12.42578125" style="143" customWidth="1"/>
    <col min="7945" max="7949" width="9.140625" style="143"/>
    <col min="7950" max="7950" width="9.85546875" style="143" customWidth="1"/>
    <col min="7951" max="8194" width="9.140625" style="143"/>
    <col min="8195" max="8196" width="12.5703125" style="143" customWidth="1"/>
    <col min="8197" max="8197" width="10.5703125" style="143" customWidth="1"/>
    <col min="8198" max="8198" width="11.140625" style="143" customWidth="1"/>
    <col min="8199" max="8199" width="0" style="143" hidden="1" customWidth="1"/>
    <col min="8200" max="8200" width="12.42578125" style="143" customWidth="1"/>
    <col min="8201" max="8205" width="9.140625" style="143"/>
    <col min="8206" max="8206" width="9.85546875" style="143" customWidth="1"/>
    <col min="8207" max="8450" width="9.140625" style="143"/>
    <col min="8451" max="8452" width="12.5703125" style="143" customWidth="1"/>
    <col min="8453" max="8453" width="10.5703125" style="143" customWidth="1"/>
    <col min="8454" max="8454" width="11.140625" style="143" customWidth="1"/>
    <col min="8455" max="8455" width="0" style="143" hidden="1" customWidth="1"/>
    <col min="8456" max="8456" width="12.42578125" style="143" customWidth="1"/>
    <col min="8457" max="8461" width="9.140625" style="143"/>
    <col min="8462" max="8462" width="9.85546875" style="143" customWidth="1"/>
    <col min="8463" max="8706" width="9.140625" style="143"/>
    <col min="8707" max="8708" width="12.5703125" style="143" customWidth="1"/>
    <col min="8709" max="8709" width="10.5703125" style="143" customWidth="1"/>
    <col min="8710" max="8710" width="11.140625" style="143" customWidth="1"/>
    <col min="8711" max="8711" width="0" style="143" hidden="1" customWidth="1"/>
    <col min="8712" max="8712" width="12.42578125" style="143" customWidth="1"/>
    <col min="8713" max="8717" width="9.140625" style="143"/>
    <col min="8718" max="8718" width="9.85546875" style="143" customWidth="1"/>
    <col min="8719" max="8962" width="9.140625" style="143"/>
    <col min="8963" max="8964" width="12.5703125" style="143" customWidth="1"/>
    <col min="8965" max="8965" width="10.5703125" style="143" customWidth="1"/>
    <col min="8966" max="8966" width="11.140625" style="143" customWidth="1"/>
    <col min="8967" max="8967" width="0" style="143" hidden="1" customWidth="1"/>
    <col min="8968" max="8968" width="12.42578125" style="143" customWidth="1"/>
    <col min="8969" max="8973" width="9.140625" style="143"/>
    <col min="8974" max="8974" width="9.85546875" style="143" customWidth="1"/>
    <col min="8975" max="9218" width="9.140625" style="143"/>
    <col min="9219" max="9220" width="12.5703125" style="143" customWidth="1"/>
    <col min="9221" max="9221" width="10.5703125" style="143" customWidth="1"/>
    <col min="9222" max="9222" width="11.140625" style="143" customWidth="1"/>
    <col min="9223" max="9223" width="0" style="143" hidden="1" customWidth="1"/>
    <col min="9224" max="9224" width="12.42578125" style="143" customWidth="1"/>
    <col min="9225" max="9229" width="9.140625" style="143"/>
    <col min="9230" max="9230" width="9.85546875" style="143" customWidth="1"/>
    <col min="9231" max="9474" width="9.140625" style="143"/>
    <col min="9475" max="9476" width="12.5703125" style="143" customWidth="1"/>
    <col min="9477" max="9477" width="10.5703125" style="143" customWidth="1"/>
    <col min="9478" max="9478" width="11.140625" style="143" customWidth="1"/>
    <col min="9479" max="9479" width="0" style="143" hidden="1" customWidth="1"/>
    <col min="9480" max="9480" width="12.42578125" style="143" customWidth="1"/>
    <col min="9481" max="9485" width="9.140625" style="143"/>
    <col min="9486" max="9486" width="9.85546875" style="143" customWidth="1"/>
    <col min="9487" max="9730" width="9.140625" style="143"/>
    <col min="9731" max="9732" width="12.5703125" style="143" customWidth="1"/>
    <col min="9733" max="9733" width="10.5703125" style="143" customWidth="1"/>
    <col min="9734" max="9734" width="11.140625" style="143" customWidth="1"/>
    <col min="9735" max="9735" width="0" style="143" hidden="1" customWidth="1"/>
    <col min="9736" max="9736" width="12.42578125" style="143" customWidth="1"/>
    <col min="9737" max="9741" width="9.140625" style="143"/>
    <col min="9742" max="9742" width="9.85546875" style="143" customWidth="1"/>
    <col min="9743" max="9986" width="9.140625" style="143"/>
    <col min="9987" max="9988" width="12.5703125" style="143" customWidth="1"/>
    <col min="9989" max="9989" width="10.5703125" style="143" customWidth="1"/>
    <col min="9990" max="9990" width="11.140625" style="143" customWidth="1"/>
    <col min="9991" max="9991" width="0" style="143" hidden="1" customWidth="1"/>
    <col min="9992" max="9992" width="12.42578125" style="143" customWidth="1"/>
    <col min="9993" max="9997" width="9.140625" style="143"/>
    <col min="9998" max="9998" width="9.85546875" style="143" customWidth="1"/>
    <col min="9999" max="10242" width="9.140625" style="143"/>
    <col min="10243" max="10244" width="12.5703125" style="143" customWidth="1"/>
    <col min="10245" max="10245" width="10.5703125" style="143" customWidth="1"/>
    <col min="10246" max="10246" width="11.140625" style="143" customWidth="1"/>
    <col min="10247" max="10247" width="0" style="143" hidden="1" customWidth="1"/>
    <col min="10248" max="10248" width="12.42578125" style="143" customWidth="1"/>
    <col min="10249" max="10253" width="9.140625" style="143"/>
    <col min="10254" max="10254" width="9.85546875" style="143" customWidth="1"/>
    <col min="10255" max="10498" width="9.140625" style="143"/>
    <col min="10499" max="10500" width="12.5703125" style="143" customWidth="1"/>
    <col min="10501" max="10501" width="10.5703125" style="143" customWidth="1"/>
    <col min="10502" max="10502" width="11.140625" style="143" customWidth="1"/>
    <col min="10503" max="10503" width="0" style="143" hidden="1" customWidth="1"/>
    <col min="10504" max="10504" width="12.42578125" style="143" customWidth="1"/>
    <col min="10505" max="10509" width="9.140625" style="143"/>
    <col min="10510" max="10510" width="9.85546875" style="143" customWidth="1"/>
    <col min="10511" max="10754" width="9.140625" style="143"/>
    <col min="10755" max="10756" width="12.5703125" style="143" customWidth="1"/>
    <col min="10757" max="10757" width="10.5703125" style="143" customWidth="1"/>
    <col min="10758" max="10758" width="11.140625" style="143" customWidth="1"/>
    <col min="10759" max="10759" width="0" style="143" hidden="1" customWidth="1"/>
    <col min="10760" max="10760" width="12.42578125" style="143" customWidth="1"/>
    <col min="10761" max="10765" width="9.140625" style="143"/>
    <col min="10766" max="10766" width="9.85546875" style="143" customWidth="1"/>
    <col min="10767" max="11010" width="9.140625" style="143"/>
    <col min="11011" max="11012" width="12.5703125" style="143" customWidth="1"/>
    <col min="11013" max="11013" width="10.5703125" style="143" customWidth="1"/>
    <col min="11014" max="11014" width="11.140625" style="143" customWidth="1"/>
    <col min="11015" max="11015" width="0" style="143" hidden="1" customWidth="1"/>
    <col min="11016" max="11016" width="12.42578125" style="143" customWidth="1"/>
    <col min="11017" max="11021" width="9.140625" style="143"/>
    <col min="11022" max="11022" width="9.85546875" style="143" customWidth="1"/>
    <col min="11023" max="11266" width="9.140625" style="143"/>
    <col min="11267" max="11268" width="12.5703125" style="143" customWidth="1"/>
    <col min="11269" max="11269" width="10.5703125" style="143" customWidth="1"/>
    <col min="11270" max="11270" width="11.140625" style="143" customWidth="1"/>
    <col min="11271" max="11271" width="0" style="143" hidden="1" customWidth="1"/>
    <col min="11272" max="11272" width="12.42578125" style="143" customWidth="1"/>
    <col min="11273" max="11277" width="9.140625" style="143"/>
    <col min="11278" max="11278" width="9.85546875" style="143" customWidth="1"/>
    <col min="11279" max="11522" width="9.140625" style="143"/>
    <col min="11523" max="11524" width="12.5703125" style="143" customWidth="1"/>
    <col min="11525" max="11525" width="10.5703125" style="143" customWidth="1"/>
    <col min="11526" max="11526" width="11.140625" style="143" customWidth="1"/>
    <col min="11527" max="11527" width="0" style="143" hidden="1" customWidth="1"/>
    <col min="11528" max="11528" width="12.42578125" style="143" customWidth="1"/>
    <col min="11529" max="11533" width="9.140625" style="143"/>
    <col min="11534" max="11534" width="9.85546875" style="143" customWidth="1"/>
    <col min="11535" max="11778" width="9.140625" style="143"/>
    <col min="11779" max="11780" width="12.5703125" style="143" customWidth="1"/>
    <col min="11781" max="11781" width="10.5703125" style="143" customWidth="1"/>
    <col min="11782" max="11782" width="11.140625" style="143" customWidth="1"/>
    <col min="11783" max="11783" width="0" style="143" hidden="1" customWidth="1"/>
    <col min="11784" max="11784" width="12.42578125" style="143" customWidth="1"/>
    <col min="11785" max="11789" width="9.140625" style="143"/>
    <col min="11790" max="11790" width="9.85546875" style="143" customWidth="1"/>
    <col min="11791" max="12034" width="9.140625" style="143"/>
    <col min="12035" max="12036" width="12.5703125" style="143" customWidth="1"/>
    <col min="12037" max="12037" width="10.5703125" style="143" customWidth="1"/>
    <col min="12038" max="12038" width="11.140625" style="143" customWidth="1"/>
    <col min="12039" max="12039" width="0" style="143" hidden="1" customWidth="1"/>
    <col min="12040" max="12040" width="12.42578125" style="143" customWidth="1"/>
    <col min="12041" max="12045" width="9.140625" style="143"/>
    <col min="12046" max="12046" width="9.85546875" style="143" customWidth="1"/>
    <col min="12047" max="12290" width="9.140625" style="143"/>
    <col min="12291" max="12292" width="12.5703125" style="143" customWidth="1"/>
    <col min="12293" max="12293" width="10.5703125" style="143" customWidth="1"/>
    <col min="12294" max="12294" width="11.140625" style="143" customWidth="1"/>
    <col min="12295" max="12295" width="0" style="143" hidden="1" customWidth="1"/>
    <col min="12296" max="12296" width="12.42578125" style="143" customWidth="1"/>
    <col min="12297" max="12301" width="9.140625" style="143"/>
    <col min="12302" max="12302" width="9.85546875" style="143" customWidth="1"/>
    <col min="12303" max="12546" width="9.140625" style="143"/>
    <col min="12547" max="12548" width="12.5703125" style="143" customWidth="1"/>
    <col min="12549" max="12549" width="10.5703125" style="143" customWidth="1"/>
    <col min="12550" max="12550" width="11.140625" style="143" customWidth="1"/>
    <col min="12551" max="12551" width="0" style="143" hidden="1" customWidth="1"/>
    <col min="12552" max="12552" width="12.42578125" style="143" customWidth="1"/>
    <col min="12553" max="12557" width="9.140625" style="143"/>
    <col min="12558" max="12558" width="9.85546875" style="143" customWidth="1"/>
    <col min="12559" max="12802" width="9.140625" style="143"/>
    <col min="12803" max="12804" width="12.5703125" style="143" customWidth="1"/>
    <col min="12805" max="12805" width="10.5703125" style="143" customWidth="1"/>
    <col min="12806" max="12806" width="11.140625" style="143" customWidth="1"/>
    <col min="12807" max="12807" width="0" style="143" hidden="1" customWidth="1"/>
    <col min="12808" max="12808" width="12.42578125" style="143" customWidth="1"/>
    <col min="12809" max="12813" width="9.140625" style="143"/>
    <col min="12814" max="12814" width="9.85546875" style="143" customWidth="1"/>
    <col min="12815" max="13058" width="9.140625" style="143"/>
    <col min="13059" max="13060" width="12.5703125" style="143" customWidth="1"/>
    <col min="13061" max="13061" width="10.5703125" style="143" customWidth="1"/>
    <col min="13062" max="13062" width="11.140625" style="143" customWidth="1"/>
    <col min="13063" max="13063" width="0" style="143" hidden="1" customWidth="1"/>
    <col min="13064" max="13064" width="12.42578125" style="143" customWidth="1"/>
    <col min="13065" max="13069" width="9.140625" style="143"/>
    <col min="13070" max="13070" width="9.85546875" style="143" customWidth="1"/>
    <col min="13071" max="13314" width="9.140625" style="143"/>
    <col min="13315" max="13316" width="12.5703125" style="143" customWidth="1"/>
    <col min="13317" max="13317" width="10.5703125" style="143" customWidth="1"/>
    <col min="13318" max="13318" width="11.140625" style="143" customWidth="1"/>
    <col min="13319" max="13319" width="0" style="143" hidden="1" customWidth="1"/>
    <col min="13320" max="13320" width="12.42578125" style="143" customWidth="1"/>
    <col min="13321" max="13325" width="9.140625" style="143"/>
    <col min="13326" max="13326" width="9.85546875" style="143" customWidth="1"/>
    <col min="13327" max="13570" width="9.140625" style="143"/>
    <col min="13571" max="13572" width="12.5703125" style="143" customWidth="1"/>
    <col min="13573" max="13573" width="10.5703125" style="143" customWidth="1"/>
    <col min="13574" max="13574" width="11.140625" style="143" customWidth="1"/>
    <col min="13575" max="13575" width="0" style="143" hidden="1" customWidth="1"/>
    <col min="13576" max="13576" width="12.42578125" style="143" customWidth="1"/>
    <col min="13577" max="13581" width="9.140625" style="143"/>
    <col min="13582" max="13582" width="9.85546875" style="143" customWidth="1"/>
    <col min="13583" max="13826" width="9.140625" style="143"/>
    <col min="13827" max="13828" width="12.5703125" style="143" customWidth="1"/>
    <col min="13829" max="13829" width="10.5703125" style="143" customWidth="1"/>
    <col min="13830" max="13830" width="11.140625" style="143" customWidth="1"/>
    <col min="13831" max="13831" width="0" style="143" hidden="1" customWidth="1"/>
    <col min="13832" max="13832" width="12.42578125" style="143" customWidth="1"/>
    <col min="13833" max="13837" width="9.140625" style="143"/>
    <col min="13838" max="13838" width="9.85546875" style="143" customWidth="1"/>
    <col min="13839" max="14082" width="9.140625" style="143"/>
    <col min="14083" max="14084" width="12.5703125" style="143" customWidth="1"/>
    <col min="14085" max="14085" width="10.5703125" style="143" customWidth="1"/>
    <col min="14086" max="14086" width="11.140625" style="143" customWidth="1"/>
    <col min="14087" max="14087" width="0" style="143" hidden="1" customWidth="1"/>
    <col min="14088" max="14088" width="12.42578125" style="143" customWidth="1"/>
    <col min="14089" max="14093" width="9.140625" style="143"/>
    <col min="14094" max="14094" width="9.85546875" style="143" customWidth="1"/>
    <col min="14095" max="14338" width="9.140625" style="143"/>
    <col min="14339" max="14340" width="12.5703125" style="143" customWidth="1"/>
    <col min="14341" max="14341" width="10.5703125" style="143" customWidth="1"/>
    <col min="14342" max="14342" width="11.140625" style="143" customWidth="1"/>
    <col min="14343" max="14343" width="0" style="143" hidden="1" customWidth="1"/>
    <col min="14344" max="14344" width="12.42578125" style="143" customWidth="1"/>
    <col min="14345" max="14349" width="9.140625" style="143"/>
    <col min="14350" max="14350" width="9.85546875" style="143" customWidth="1"/>
    <col min="14351" max="14594" width="9.140625" style="143"/>
    <col min="14595" max="14596" width="12.5703125" style="143" customWidth="1"/>
    <col min="14597" max="14597" width="10.5703125" style="143" customWidth="1"/>
    <col min="14598" max="14598" width="11.140625" style="143" customWidth="1"/>
    <col min="14599" max="14599" width="0" style="143" hidden="1" customWidth="1"/>
    <col min="14600" max="14600" width="12.42578125" style="143" customWidth="1"/>
    <col min="14601" max="14605" width="9.140625" style="143"/>
    <col min="14606" max="14606" width="9.85546875" style="143" customWidth="1"/>
    <col min="14607" max="14850" width="9.140625" style="143"/>
    <col min="14851" max="14852" width="12.5703125" style="143" customWidth="1"/>
    <col min="14853" max="14853" width="10.5703125" style="143" customWidth="1"/>
    <col min="14854" max="14854" width="11.140625" style="143" customWidth="1"/>
    <col min="14855" max="14855" width="0" style="143" hidden="1" customWidth="1"/>
    <col min="14856" max="14856" width="12.42578125" style="143" customWidth="1"/>
    <col min="14857" max="14861" width="9.140625" style="143"/>
    <col min="14862" max="14862" width="9.85546875" style="143" customWidth="1"/>
    <col min="14863" max="15106" width="9.140625" style="143"/>
    <col min="15107" max="15108" width="12.5703125" style="143" customWidth="1"/>
    <col min="15109" max="15109" width="10.5703125" style="143" customWidth="1"/>
    <col min="15110" max="15110" width="11.140625" style="143" customWidth="1"/>
    <col min="15111" max="15111" width="0" style="143" hidden="1" customWidth="1"/>
    <col min="15112" max="15112" width="12.42578125" style="143" customWidth="1"/>
    <col min="15113" max="15117" width="9.140625" style="143"/>
    <col min="15118" max="15118" width="9.85546875" style="143" customWidth="1"/>
    <col min="15119" max="15362" width="9.140625" style="143"/>
    <col min="15363" max="15364" width="12.5703125" style="143" customWidth="1"/>
    <col min="15365" max="15365" width="10.5703125" style="143" customWidth="1"/>
    <col min="15366" max="15366" width="11.140625" style="143" customWidth="1"/>
    <col min="15367" max="15367" width="0" style="143" hidden="1" customWidth="1"/>
    <col min="15368" max="15368" width="12.42578125" style="143" customWidth="1"/>
    <col min="15369" max="15373" width="9.140625" style="143"/>
    <col min="15374" max="15374" width="9.85546875" style="143" customWidth="1"/>
    <col min="15375" max="15618" width="9.140625" style="143"/>
    <col min="15619" max="15620" width="12.5703125" style="143" customWidth="1"/>
    <col min="15621" max="15621" width="10.5703125" style="143" customWidth="1"/>
    <col min="15622" max="15622" width="11.140625" style="143" customWidth="1"/>
    <col min="15623" max="15623" width="0" style="143" hidden="1" customWidth="1"/>
    <col min="15624" max="15624" width="12.42578125" style="143" customWidth="1"/>
    <col min="15625" max="15629" width="9.140625" style="143"/>
    <col min="15630" max="15630" width="9.85546875" style="143" customWidth="1"/>
    <col min="15631" max="15874" width="9.140625" style="143"/>
    <col min="15875" max="15876" width="12.5703125" style="143" customWidth="1"/>
    <col min="15877" max="15877" width="10.5703125" style="143" customWidth="1"/>
    <col min="15878" max="15878" width="11.140625" style="143" customWidth="1"/>
    <col min="15879" max="15879" width="0" style="143" hidden="1" customWidth="1"/>
    <col min="15880" max="15880" width="12.42578125" style="143" customWidth="1"/>
    <col min="15881" max="15885" width="9.140625" style="143"/>
    <col min="15886" max="15886" width="9.85546875" style="143" customWidth="1"/>
    <col min="15887" max="16130" width="9.140625" style="143"/>
    <col min="16131" max="16132" width="12.5703125" style="143" customWidth="1"/>
    <col min="16133" max="16133" width="10.5703125" style="143" customWidth="1"/>
    <col min="16134" max="16134" width="11.140625" style="143" customWidth="1"/>
    <col min="16135" max="16135" width="0" style="143" hidden="1" customWidth="1"/>
    <col min="16136" max="16136" width="12.42578125" style="143" customWidth="1"/>
    <col min="16137" max="16141" width="9.140625" style="143"/>
    <col min="16142" max="16142" width="9.85546875" style="143" customWidth="1"/>
    <col min="16143" max="16384" width="9.140625" style="143"/>
  </cols>
  <sheetData>
    <row r="1" spans="1:14" x14ac:dyDescent="0.2">
      <c r="A1" s="141"/>
      <c r="B1" s="159" t="s">
        <v>110</v>
      </c>
      <c r="C1" s="159"/>
      <c r="D1" s="159"/>
      <c r="E1" s="159"/>
      <c r="F1" s="159"/>
      <c r="G1" s="159"/>
      <c r="H1" s="159"/>
      <c r="I1" s="159"/>
      <c r="J1" s="142"/>
      <c r="K1" s="142"/>
      <c r="L1" s="142"/>
      <c r="M1" s="142"/>
      <c r="N1" s="142"/>
    </row>
    <row r="2" spans="1:14" x14ac:dyDescent="0.2">
      <c r="A2" s="141"/>
      <c r="B2" s="159" t="s">
        <v>108</v>
      </c>
      <c r="C2" s="159"/>
      <c r="D2" s="159"/>
      <c r="E2" s="159"/>
      <c r="F2" s="159"/>
      <c r="G2" s="159"/>
      <c r="H2" s="159" t="s">
        <v>109</v>
      </c>
      <c r="I2" s="159"/>
      <c r="J2" s="142"/>
      <c r="K2" s="142"/>
      <c r="L2" s="142"/>
      <c r="M2" s="142"/>
      <c r="N2" s="142"/>
    </row>
    <row r="3" spans="1:14" x14ac:dyDescent="0.2">
      <c r="A3" s="141" t="s">
        <v>97</v>
      </c>
      <c r="B3" s="144" t="s">
        <v>98</v>
      </c>
      <c r="C3" s="144" t="s">
        <v>99</v>
      </c>
      <c r="D3" s="145" t="s">
        <v>100</v>
      </c>
      <c r="E3" s="146"/>
      <c r="F3" s="146" t="s">
        <v>106</v>
      </c>
      <c r="G3" s="147" t="s">
        <v>101</v>
      </c>
      <c r="H3" s="147" t="s">
        <v>98</v>
      </c>
      <c r="I3" s="145" t="s">
        <v>102</v>
      </c>
      <c r="J3" s="148"/>
      <c r="K3" s="148"/>
      <c r="L3" s="148"/>
      <c r="M3" s="148"/>
      <c r="N3" s="148"/>
    </row>
    <row r="4" spans="1:14" x14ac:dyDescent="0.2">
      <c r="A4" s="141"/>
      <c r="B4" s="144" t="s">
        <v>103</v>
      </c>
      <c r="C4" s="144" t="s">
        <v>104</v>
      </c>
      <c r="D4" s="146" t="s">
        <v>105</v>
      </c>
      <c r="E4" s="146"/>
      <c r="F4" s="146" t="s">
        <v>107</v>
      </c>
      <c r="G4" s="146"/>
      <c r="H4" s="146"/>
      <c r="I4" s="146"/>
      <c r="J4" s="148"/>
      <c r="K4" s="148"/>
      <c r="L4" s="148"/>
      <c r="M4" s="148"/>
      <c r="N4" s="148"/>
    </row>
    <row r="5" spans="1:14" x14ac:dyDescent="0.2">
      <c r="A5" s="149">
        <v>42005</v>
      </c>
      <c r="B5" s="150"/>
      <c r="C5" s="150"/>
      <c r="D5" s="151" t="s">
        <v>111</v>
      </c>
      <c r="E5" s="151"/>
      <c r="F5" s="151"/>
      <c r="G5" s="206">
        <f>SUM(B5:C5,F5)/1000000</f>
        <v>0</v>
      </c>
      <c r="H5" s="151"/>
      <c r="I5" s="206">
        <f>H5/1000000</f>
        <v>0</v>
      </c>
      <c r="J5" s="148"/>
      <c r="K5" s="148"/>
      <c r="L5" s="148"/>
      <c r="M5" s="148"/>
      <c r="N5" s="148"/>
    </row>
    <row r="6" spans="1:14" x14ac:dyDescent="0.2">
      <c r="A6" s="149">
        <f t="shared" ref="A6:A35" si="0">A5+1</f>
        <v>42006</v>
      </c>
      <c r="B6" s="150"/>
      <c r="C6" s="150"/>
      <c r="D6" s="151" t="s">
        <v>111</v>
      </c>
      <c r="E6" s="151"/>
      <c r="F6" s="151"/>
      <c r="G6" s="206">
        <f t="shared" ref="G6:G35" si="1">SUM(B6:C6,F6)/1000000</f>
        <v>0</v>
      </c>
      <c r="H6" s="158"/>
      <c r="I6" s="206">
        <f t="shared" ref="I6:I10" si="2">H6/1000000</f>
        <v>0</v>
      </c>
      <c r="J6" s="148"/>
      <c r="K6" s="148"/>
      <c r="L6" s="148"/>
      <c r="M6" s="148"/>
      <c r="N6" s="148"/>
    </row>
    <row r="7" spans="1:14" x14ac:dyDescent="0.2">
      <c r="A7" s="149">
        <f t="shared" si="0"/>
        <v>42007</v>
      </c>
      <c r="B7" s="150"/>
      <c r="C7" s="150"/>
      <c r="D7" s="151" t="s">
        <v>111</v>
      </c>
      <c r="E7" s="151"/>
      <c r="F7" s="151"/>
      <c r="G7" s="206">
        <f t="shared" si="1"/>
        <v>0</v>
      </c>
      <c r="H7" s="158"/>
      <c r="I7" s="206">
        <f t="shared" si="2"/>
        <v>0</v>
      </c>
      <c r="J7" s="148"/>
      <c r="K7" s="148"/>
      <c r="L7" s="148"/>
      <c r="M7" s="148"/>
      <c r="N7" s="148"/>
    </row>
    <row r="8" spans="1:14" x14ac:dyDescent="0.2">
      <c r="A8" s="149">
        <f t="shared" si="0"/>
        <v>42008</v>
      </c>
      <c r="B8" s="150"/>
      <c r="C8" s="150"/>
      <c r="D8" s="151" t="s">
        <v>111</v>
      </c>
      <c r="E8" s="151"/>
      <c r="F8" s="151"/>
      <c r="G8" s="206">
        <f t="shared" si="1"/>
        <v>0</v>
      </c>
      <c r="H8" s="158"/>
      <c r="I8" s="206">
        <f t="shared" si="2"/>
        <v>0</v>
      </c>
      <c r="J8" s="148"/>
      <c r="K8" s="148"/>
      <c r="L8" s="148"/>
      <c r="M8" s="148"/>
      <c r="N8" s="148"/>
    </row>
    <row r="9" spans="1:14" x14ac:dyDescent="0.2">
      <c r="A9" s="149">
        <f t="shared" si="0"/>
        <v>42009</v>
      </c>
      <c r="B9" s="150"/>
      <c r="C9" s="150"/>
      <c r="D9" s="151" t="s">
        <v>111</v>
      </c>
      <c r="E9" s="151"/>
      <c r="F9" s="151"/>
      <c r="G9" s="206">
        <f t="shared" si="1"/>
        <v>0</v>
      </c>
      <c r="H9" s="158"/>
      <c r="I9" s="206">
        <f t="shared" si="2"/>
        <v>0</v>
      </c>
      <c r="J9" s="148"/>
      <c r="K9" s="148"/>
      <c r="L9" s="148"/>
      <c r="M9" s="148"/>
      <c r="N9" s="148"/>
    </row>
    <row r="10" spans="1:14" x14ac:dyDescent="0.2">
      <c r="A10" s="149">
        <f t="shared" si="0"/>
        <v>42010</v>
      </c>
      <c r="B10" s="150"/>
      <c r="C10" s="150"/>
      <c r="D10" s="151" t="s">
        <v>111</v>
      </c>
      <c r="E10" s="151"/>
      <c r="F10" s="151"/>
      <c r="G10" s="206">
        <f t="shared" si="1"/>
        <v>0</v>
      </c>
      <c r="H10" s="158"/>
      <c r="I10" s="206">
        <f t="shared" si="2"/>
        <v>0</v>
      </c>
      <c r="J10" s="148"/>
      <c r="K10" s="148"/>
      <c r="L10" s="148"/>
      <c r="M10" s="148"/>
      <c r="N10" s="148"/>
    </row>
    <row r="11" spans="1:14" x14ac:dyDescent="0.2">
      <c r="A11" s="149">
        <f t="shared" si="0"/>
        <v>42011</v>
      </c>
      <c r="B11" s="150"/>
      <c r="C11" s="150"/>
      <c r="D11" s="151" t="s">
        <v>111</v>
      </c>
      <c r="E11" s="151"/>
      <c r="F11" s="151"/>
      <c r="G11" s="206">
        <f t="shared" si="1"/>
        <v>0</v>
      </c>
      <c r="H11" s="158"/>
      <c r="I11" s="206">
        <f>H4/1000000</f>
        <v>0</v>
      </c>
      <c r="J11" s="148"/>
      <c r="K11" s="148"/>
      <c r="L11" s="148"/>
      <c r="M11" s="148"/>
      <c r="N11" s="148"/>
    </row>
    <row r="12" spans="1:14" x14ac:dyDescent="0.2">
      <c r="A12" s="149">
        <f t="shared" si="0"/>
        <v>42012</v>
      </c>
      <c r="B12" s="150"/>
      <c r="C12" s="150"/>
      <c r="D12" s="151" t="s">
        <v>111</v>
      </c>
      <c r="E12" s="151"/>
      <c r="F12" s="151"/>
      <c r="G12" s="206">
        <f t="shared" si="1"/>
        <v>0</v>
      </c>
      <c r="H12" s="151"/>
      <c r="I12" s="206">
        <f>H5/1000000</f>
        <v>0</v>
      </c>
      <c r="J12" s="148"/>
      <c r="K12" s="148"/>
      <c r="L12" s="148"/>
      <c r="M12" s="148"/>
      <c r="N12" s="148"/>
    </row>
    <row r="13" spans="1:14" x14ac:dyDescent="0.2">
      <c r="A13" s="149">
        <f t="shared" si="0"/>
        <v>42013</v>
      </c>
      <c r="B13" s="150"/>
      <c r="C13" s="150"/>
      <c r="D13" s="151" t="s">
        <v>111</v>
      </c>
      <c r="E13" s="151"/>
      <c r="F13" s="151"/>
      <c r="G13" s="206">
        <f t="shared" si="1"/>
        <v>0</v>
      </c>
      <c r="H13" s="158"/>
      <c r="I13" s="206">
        <f t="shared" ref="I13:I35" si="3">H6/1000000</f>
        <v>0</v>
      </c>
      <c r="J13" s="148"/>
      <c r="K13" s="148"/>
      <c r="L13" s="148"/>
      <c r="M13" s="148"/>
      <c r="N13" s="148"/>
    </row>
    <row r="14" spans="1:14" x14ac:dyDescent="0.2">
      <c r="A14" s="149">
        <f t="shared" si="0"/>
        <v>42014</v>
      </c>
      <c r="B14" s="150"/>
      <c r="C14" s="150"/>
      <c r="D14" s="151" t="s">
        <v>111</v>
      </c>
      <c r="E14" s="151"/>
      <c r="F14" s="151"/>
      <c r="G14" s="206">
        <f t="shared" si="1"/>
        <v>0</v>
      </c>
      <c r="H14" s="158"/>
      <c r="I14" s="206">
        <f t="shared" si="3"/>
        <v>0</v>
      </c>
      <c r="J14" s="148"/>
      <c r="K14" s="148"/>
      <c r="L14" s="148"/>
      <c r="M14" s="148"/>
      <c r="N14" s="148"/>
    </row>
    <row r="15" spans="1:14" x14ac:dyDescent="0.2">
      <c r="A15" s="149">
        <f t="shared" si="0"/>
        <v>42015</v>
      </c>
      <c r="B15" s="150"/>
      <c r="C15" s="150"/>
      <c r="D15" s="151" t="s">
        <v>111</v>
      </c>
      <c r="E15" s="151"/>
      <c r="F15" s="151"/>
      <c r="G15" s="206">
        <f t="shared" si="1"/>
        <v>0</v>
      </c>
      <c r="H15" s="158"/>
      <c r="I15" s="206">
        <f t="shared" si="3"/>
        <v>0</v>
      </c>
      <c r="J15" s="148"/>
      <c r="K15" s="148"/>
      <c r="L15" s="148"/>
      <c r="M15" s="148"/>
      <c r="N15" s="148"/>
    </row>
    <row r="16" spans="1:14" x14ac:dyDescent="0.2">
      <c r="A16" s="149">
        <f t="shared" si="0"/>
        <v>42016</v>
      </c>
      <c r="B16" s="150"/>
      <c r="C16" s="150"/>
      <c r="D16" s="151" t="s">
        <v>111</v>
      </c>
      <c r="E16" s="151"/>
      <c r="F16" s="151"/>
      <c r="G16" s="206">
        <f t="shared" si="1"/>
        <v>0</v>
      </c>
      <c r="H16" s="158"/>
      <c r="I16" s="206">
        <f t="shared" si="3"/>
        <v>0</v>
      </c>
      <c r="J16" s="148"/>
      <c r="K16" s="148"/>
      <c r="L16" s="148"/>
      <c r="M16" s="148"/>
      <c r="N16" s="148"/>
    </row>
    <row r="17" spans="1:14" x14ac:dyDescent="0.2">
      <c r="A17" s="149">
        <f t="shared" si="0"/>
        <v>42017</v>
      </c>
      <c r="B17" s="150"/>
      <c r="C17" s="150"/>
      <c r="D17" s="151" t="s">
        <v>111</v>
      </c>
      <c r="E17" s="151"/>
      <c r="F17" s="151"/>
      <c r="G17" s="206">
        <f t="shared" si="1"/>
        <v>0</v>
      </c>
      <c r="H17" s="158"/>
      <c r="I17" s="206">
        <f t="shared" si="3"/>
        <v>0</v>
      </c>
      <c r="J17" s="148"/>
      <c r="K17" s="148"/>
      <c r="L17" s="148"/>
      <c r="M17" s="148"/>
      <c r="N17" s="148"/>
    </row>
    <row r="18" spans="1:14" x14ac:dyDescent="0.2">
      <c r="A18" s="149">
        <f t="shared" si="0"/>
        <v>42018</v>
      </c>
      <c r="B18" s="150"/>
      <c r="C18" s="150"/>
      <c r="D18" s="151" t="s">
        <v>111</v>
      </c>
      <c r="E18" s="151"/>
      <c r="F18" s="151"/>
      <c r="G18" s="206">
        <f t="shared" si="1"/>
        <v>0</v>
      </c>
      <c r="H18" s="158"/>
      <c r="I18" s="206">
        <f t="shared" si="3"/>
        <v>0</v>
      </c>
      <c r="J18" s="148"/>
      <c r="K18" s="148"/>
      <c r="L18" s="148"/>
      <c r="M18" s="148"/>
      <c r="N18" s="148"/>
    </row>
    <row r="19" spans="1:14" x14ac:dyDescent="0.2">
      <c r="A19" s="149">
        <f t="shared" si="0"/>
        <v>42019</v>
      </c>
      <c r="B19" s="150"/>
      <c r="C19" s="150"/>
      <c r="D19" s="151" t="s">
        <v>111</v>
      </c>
      <c r="E19" s="151"/>
      <c r="F19" s="151"/>
      <c r="G19" s="206">
        <f t="shared" si="1"/>
        <v>0</v>
      </c>
      <c r="H19" s="158"/>
      <c r="I19" s="206">
        <f t="shared" si="3"/>
        <v>0</v>
      </c>
      <c r="J19" s="148"/>
      <c r="K19" s="148"/>
      <c r="L19" s="148"/>
      <c r="M19" s="148"/>
      <c r="N19" s="148"/>
    </row>
    <row r="20" spans="1:14" x14ac:dyDescent="0.2">
      <c r="A20" s="149">
        <f t="shared" si="0"/>
        <v>42020</v>
      </c>
      <c r="B20" s="150"/>
      <c r="C20" s="150"/>
      <c r="D20" s="151" t="s">
        <v>111</v>
      </c>
      <c r="E20" s="151"/>
      <c r="F20" s="151"/>
      <c r="G20" s="206">
        <f t="shared" si="1"/>
        <v>0</v>
      </c>
      <c r="H20" s="158"/>
      <c r="I20" s="206">
        <f t="shared" si="3"/>
        <v>0</v>
      </c>
      <c r="J20" s="148"/>
      <c r="K20" s="148"/>
      <c r="L20" s="148"/>
      <c r="M20" s="148"/>
      <c r="N20" s="148"/>
    </row>
    <row r="21" spans="1:14" x14ac:dyDescent="0.2">
      <c r="A21" s="149">
        <f t="shared" si="0"/>
        <v>42021</v>
      </c>
      <c r="B21" s="150"/>
      <c r="C21" s="150"/>
      <c r="D21" s="151" t="s">
        <v>111</v>
      </c>
      <c r="E21" s="151"/>
      <c r="F21" s="151"/>
      <c r="G21" s="206">
        <f t="shared" si="1"/>
        <v>0</v>
      </c>
      <c r="H21" s="158"/>
      <c r="I21" s="206">
        <f t="shared" si="3"/>
        <v>0</v>
      </c>
      <c r="J21" s="148"/>
      <c r="K21" s="148"/>
      <c r="L21" s="148"/>
      <c r="M21" s="148"/>
      <c r="N21" s="148"/>
    </row>
    <row r="22" spans="1:14" x14ac:dyDescent="0.2">
      <c r="A22" s="149">
        <f t="shared" si="0"/>
        <v>42022</v>
      </c>
      <c r="B22" s="150"/>
      <c r="C22" s="150"/>
      <c r="D22" s="151" t="s">
        <v>111</v>
      </c>
      <c r="E22" s="151"/>
      <c r="F22" s="151"/>
      <c r="G22" s="206">
        <f t="shared" si="1"/>
        <v>0</v>
      </c>
      <c r="H22" s="158"/>
      <c r="I22" s="206">
        <f t="shared" si="3"/>
        <v>0</v>
      </c>
      <c r="J22" s="148"/>
      <c r="K22" s="148"/>
      <c r="L22" s="148"/>
      <c r="M22" s="148"/>
      <c r="N22" s="148"/>
    </row>
    <row r="23" spans="1:14" x14ac:dyDescent="0.2">
      <c r="A23" s="149">
        <f t="shared" si="0"/>
        <v>42023</v>
      </c>
      <c r="B23" s="150"/>
      <c r="C23" s="150"/>
      <c r="D23" s="151" t="s">
        <v>111</v>
      </c>
      <c r="E23" s="151"/>
      <c r="F23" s="151"/>
      <c r="G23" s="206">
        <f t="shared" si="1"/>
        <v>0</v>
      </c>
      <c r="H23" s="158"/>
      <c r="I23" s="206">
        <f t="shared" si="3"/>
        <v>0</v>
      </c>
      <c r="J23" s="148"/>
      <c r="K23" s="148"/>
      <c r="L23" s="148"/>
      <c r="M23" s="148"/>
      <c r="N23" s="148"/>
    </row>
    <row r="24" spans="1:14" x14ac:dyDescent="0.2">
      <c r="A24" s="149">
        <f t="shared" si="0"/>
        <v>42024</v>
      </c>
      <c r="B24" s="150"/>
      <c r="C24" s="150"/>
      <c r="D24" s="151" t="s">
        <v>111</v>
      </c>
      <c r="E24" s="151"/>
      <c r="F24" s="151"/>
      <c r="G24" s="206">
        <f t="shared" si="1"/>
        <v>0</v>
      </c>
      <c r="H24" s="158"/>
      <c r="I24" s="206">
        <f t="shared" si="3"/>
        <v>0</v>
      </c>
      <c r="J24" s="148"/>
      <c r="K24" s="148"/>
      <c r="L24" s="148"/>
      <c r="M24" s="148"/>
      <c r="N24" s="148"/>
    </row>
    <row r="25" spans="1:14" x14ac:dyDescent="0.2">
      <c r="A25" s="149">
        <f t="shared" si="0"/>
        <v>42025</v>
      </c>
      <c r="B25" s="150"/>
      <c r="C25" s="150"/>
      <c r="D25" s="151" t="s">
        <v>111</v>
      </c>
      <c r="E25" s="151"/>
      <c r="F25" s="151"/>
      <c r="G25" s="206">
        <f t="shared" si="1"/>
        <v>0</v>
      </c>
      <c r="H25" s="158"/>
      <c r="I25" s="206">
        <f t="shared" si="3"/>
        <v>0</v>
      </c>
      <c r="J25" s="148"/>
      <c r="K25" s="148"/>
      <c r="L25" s="148"/>
      <c r="M25" s="148"/>
      <c r="N25" s="148"/>
    </row>
    <row r="26" spans="1:14" x14ac:dyDescent="0.2">
      <c r="A26" s="149">
        <f t="shared" si="0"/>
        <v>42026</v>
      </c>
      <c r="B26" s="150"/>
      <c r="C26" s="150"/>
      <c r="D26" s="151" t="s">
        <v>111</v>
      </c>
      <c r="E26" s="151"/>
      <c r="F26" s="151"/>
      <c r="G26" s="206">
        <f t="shared" si="1"/>
        <v>0</v>
      </c>
      <c r="H26" s="158"/>
      <c r="I26" s="206">
        <f t="shared" si="3"/>
        <v>0</v>
      </c>
      <c r="J26" s="148"/>
      <c r="K26" s="148"/>
      <c r="L26" s="148"/>
      <c r="M26" s="148"/>
      <c r="N26" s="148"/>
    </row>
    <row r="27" spans="1:14" x14ac:dyDescent="0.2">
      <c r="A27" s="149">
        <f t="shared" si="0"/>
        <v>42027</v>
      </c>
      <c r="B27" s="150"/>
      <c r="C27" s="150"/>
      <c r="D27" s="151" t="s">
        <v>111</v>
      </c>
      <c r="E27" s="151"/>
      <c r="F27" s="151"/>
      <c r="G27" s="206">
        <f t="shared" si="1"/>
        <v>0</v>
      </c>
      <c r="H27" s="158"/>
      <c r="I27" s="206">
        <f t="shared" si="3"/>
        <v>0</v>
      </c>
      <c r="J27" s="148"/>
      <c r="K27" s="148"/>
      <c r="L27" s="148"/>
      <c r="M27" s="148"/>
      <c r="N27" s="148"/>
    </row>
    <row r="28" spans="1:14" x14ac:dyDescent="0.2">
      <c r="A28" s="149">
        <f t="shared" si="0"/>
        <v>42028</v>
      </c>
      <c r="B28" s="150"/>
      <c r="C28" s="150"/>
      <c r="D28" s="151" t="s">
        <v>111</v>
      </c>
      <c r="E28" s="151"/>
      <c r="F28" s="151"/>
      <c r="G28" s="206">
        <f t="shared" si="1"/>
        <v>0</v>
      </c>
      <c r="H28" s="158"/>
      <c r="I28" s="206">
        <f t="shared" si="3"/>
        <v>0</v>
      </c>
      <c r="J28" s="148"/>
      <c r="K28" s="148"/>
      <c r="L28" s="148"/>
      <c r="M28" s="148"/>
      <c r="N28" s="148"/>
    </row>
    <row r="29" spans="1:14" x14ac:dyDescent="0.2">
      <c r="A29" s="149">
        <f t="shared" si="0"/>
        <v>42029</v>
      </c>
      <c r="B29" s="150"/>
      <c r="C29" s="150"/>
      <c r="D29" s="151" t="s">
        <v>111</v>
      </c>
      <c r="E29" s="151"/>
      <c r="F29" s="151"/>
      <c r="G29" s="206">
        <f t="shared" si="1"/>
        <v>0</v>
      </c>
      <c r="H29" s="158"/>
      <c r="I29" s="206">
        <f t="shared" si="3"/>
        <v>0</v>
      </c>
      <c r="J29" s="148"/>
      <c r="K29" s="148"/>
      <c r="L29" s="148"/>
      <c r="M29" s="148"/>
      <c r="N29" s="148"/>
    </row>
    <row r="30" spans="1:14" x14ac:dyDescent="0.2">
      <c r="A30" s="149">
        <f t="shared" si="0"/>
        <v>42030</v>
      </c>
      <c r="B30" s="150"/>
      <c r="C30" s="150"/>
      <c r="D30" s="151" t="s">
        <v>111</v>
      </c>
      <c r="E30" s="151"/>
      <c r="F30" s="151"/>
      <c r="G30" s="206">
        <f t="shared" si="1"/>
        <v>0</v>
      </c>
      <c r="H30" s="158"/>
      <c r="I30" s="206">
        <f t="shared" si="3"/>
        <v>0</v>
      </c>
      <c r="J30" s="148"/>
      <c r="K30" s="148"/>
      <c r="L30" s="148"/>
      <c r="M30" s="148"/>
      <c r="N30" s="148"/>
    </row>
    <row r="31" spans="1:14" x14ac:dyDescent="0.2">
      <c r="A31" s="149">
        <f t="shared" si="0"/>
        <v>42031</v>
      </c>
      <c r="B31" s="150"/>
      <c r="C31" s="150"/>
      <c r="D31" s="151" t="s">
        <v>111</v>
      </c>
      <c r="E31" s="151"/>
      <c r="F31" s="151"/>
      <c r="G31" s="206">
        <f t="shared" si="1"/>
        <v>0</v>
      </c>
      <c r="H31" s="158"/>
      <c r="I31" s="206">
        <f t="shared" si="3"/>
        <v>0</v>
      </c>
      <c r="J31" s="148"/>
      <c r="K31" s="148"/>
      <c r="L31" s="148"/>
      <c r="M31" s="148"/>
      <c r="N31" s="148"/>
    </row>
    <row r="32" spans="1:14" x14ac:dyDescent="0.2">
      <c r="A32" s="149">
        <f t="shared" si="0"/>
        <v>42032</v>
      </c>
      <c r="B32" s="150"/>
      <c r="C32" s="150"/>
      <c r="D32" s="151" t="s">
        <v>111</v>
      </c>
      <c r="E32" s="151"/>
      <c r="F32" s="151"/>
      <c r="G32" s="206">
        <f t="shared" si="1"/>
        <v>0</v>
      </c>
      <c r="H32" s="158"/>
      <c r="I32" s="206">
        <f t="shared" si="3"/>
        <v>0</v>
      </c>
      <c r="J32" s="148"/>
      <c r="K32" s="148"/>
      <c r="L32" s="148"/>
      <c r="M32" s="148"/>
      <c r="N32" s="148"/>
    </row>
    <row r="33" spans="1:14" x14ac:dyDescent="0.2">
      <c r="A33" s="149">
        <f t="shared" si="0"/>
        <v>42033</v>
      </c>
      <c r="B33" s="150"/>
      <c r="C33" s="151"/>
      <c r="D33" s="151" t="s">
        <v>111</v>
      </c>
      <c r="E33" s="151"/>
      <c r="F33" s="151"/>
      <c r="G33" s="206">
        <f t="shared" si="1"/>
        <v>0</v>
      </c>
      <c r="H33" s="158"/>
      <c r="I33" s="206">
        <f t="shared" si="3"/>
        <v>0</v>
      </c>
      <c r="J33" s="148"/>
      <c r="K33" s="148"/>
      <c r="L33" s="148"/>
      <c r="M33" s="148"/>
      <c r="N33" s="148"/>
    </row>
    <row r="34" spans="1:14" x14ac:dyDescent="0.2">
      <c r="A34" s="149">
        <f t="shared" si="0"/>
        <v>42034</v>
      </c>
      <c r="B34" s="150"/>
      <c r="C34" s="151"/>
      <c r="D34" s="151" t="s">
        <v>111</v>
      </c>
      <c r="E34" s="151"/>
      <c r="F34" s="151"/>
      <c r="G34" s="206">
        <f t="shared" si="1"/>
        <v>0</v>
      </c>
      <c r="H34" s="158"/>
      <c r="I34" s="206">
        <f t="shared" si="3"/>
        <v>0</v>
      </c>
      <c r="J34" s="148"/>
      <c r="K34" s="148"/>
      <c r="L34" s="148"/>
      <c r="M34" s="148"/>
      <c r="N34" s="148"/>
    </row>
    <row r="35" spans="1:14" x14ac:dyDescent="0.2">
      <c r="A35" s="149">
        <f t="shared" si="0"/>
        <v>42035</v>
      </c>
      <c r="B35" s="151"/>
      <c r="C35" s="151"/>
      <c r="D35" s="151" t="s">
        <v>111</v>
      </c>
      <c r="E35" s="151"/>
      <c r="F35" s="151"/>
      <c r="G35" s="206">
        <f t="shared" si="1"/>
        <v>0</v>
      </c>
      <c r="H35" s="158"/>
      <c r="I35" s="206">
        <f t="shared" si="3"/>
        <v>0</v>
      </c>
      <c r="J35" s="148"/>
      <c r="K35" s="148"/>
      <c r="L35" s="148"/>
      <c r="M35" s="148"/>
      <c r="N35" s="148"/>
    </row>
    <row r="36" spans="1:14" x14ac:dyDescent="0.2">
      <c r="G36" s="152"/>
      <c r="H36" s="152"/>
    </row>
    <row r="37" spans="1:14" x14ac:dyDescent="0.2">
      <c r="G37" s="152"/>
      <c r="H37" s="152"/>
    </row>
  </sheetData>
  <mergeCells count="3">
    <mergeCell ref="H2:I2"/>
    <mergeCell ref="B1:I1"/>
    <mergeCell ref="B2:G2"/>
  </mergeCells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222"/>
  <sheetViews>
    <sheetView tabSelected="1" view="pageBreakPreview" zoomScaleNormal="100" workbookViewId="0">
      <selection activeCell="B9" sqref="B9:C41"/>
    </sheetView>
  </sheetViews>
  <sheetFormatPr defaultRowHeight="12.75" x14ac:dyDescent="0.2"/>
  <cols>
    <col min="1" max="1" width="18.85546875" customWidth="1"/>
    <col min="2" max="2" width="21" customWidth="1"/>
    <col min="3" max="3" width="18.85546875" customWidth="1"/>
    <col min="4" max="5" width="19" customWidth="1"/>
    <col min="6" max="6" width="19.140625" customWidth="1"/>
    <col min="7" max="7" width="0.42578125" customWidth="1"/>
    <col min="8" max="8" width="14.85546875" customWidth="1"/>
    <col min="9" max="9" width="31.140625" customWidth="1"/>
    <col min="10" max="11" width="22.140625" customWidth="1"/>
  </cols>
  <sheetData>
    <row r="1" spans="1:10" s="105" customFormat="1" ht="20.25" x14ac:dyDescent="0.3">
      <c r="A1" s="104" t="s">
        <v>59</v>
      </c>
    </row>
    <row r="2" spans="1:10" ht="18.75" thickBot="1" x14ac:dyDescent="0.3">
      <c r="A2" s="72" t="s">
        <v>60</v>
      </c>
    </row>
    <row r="3" spans="1:10" s="1" customFormat="1" ht="15" customHeight="1" x14ac:dyDescent="0.2">
      <c r="A3" s="187" t="s">
        <v>6</v>
      </c>
      <c r="B3" s="188"/>
      <c r="C3" s="188"/>
      <c r="D3" s="188"/>
      <c r="E3" s="188"/>
      <c r="F3" s="189"/>
      <c r="G3" s="75"/>
      <c r="H3" s="202" t="s">
        <v>81</v>
      </c>
      <c r="I3" s="204" t="s">
        <v>86</v>
      </c>
      <c r="J3" s="4"/>
    </row>
    <row r="4" spans="1:10" s="1" customFormat="1" ht="9" customHeight="1" thickBot="1" x14ac:dyDescent="0.25">
      <c r="A4" s="190"/>
      <c r="B4" s="191"/>
      <c r="C4" s="191"/>
      <c r="D4" s="191"/>
      <c r="E4" s="191"/>
      <c r="F4" s="192"/>
      <c r="G4" s="75"/>
      <c r="H4" s="203"/>
      <c r="I4" s="205"/>
      <c r="J4" s="4"/>
    </row>
    <row r="5" spans="1:10" s="1" customFormat="1" ht="15.6" customHeight="1" x14ac:dyDescent="0.2">
      <c r="A5" s="193" t="s">
        <v>20</v>
      </c>
      <c r="B5" s="194"/>
      <c r="C5" s="194"/>
      <c r="D5" s="194"/>
      <c r="E5" s="194"/>
      <c r="F5" s="195"/>
      <c r="G5" s="5"/>
      <c r="H5" s="177" t="s">
        <v>9</v>
      </c>
      <c r="I5" s="197" t="s">
        <v>87</v>
      </c>
      <c r="J5" s="4"/>
    </row>
    <row r="6" spans="1:10" s="1" customFormat="1" ht="15.6" customHeight="1" thickBot="1" x14ac:dyDescent="0.25">
      <c r="A6" s="199" t="s">
        <v>21</v>
      </c>
      <c r="B6" s="200"/>
      <c r="C6" s="200"/>
      <c r="D6" s="200"/>
      <c r="E6" s="200"/>
      <c r="F6" s="201"/>
      <c r="G6" s="5"/>
      <c r="H6" s="196"/>
      <c r="I6" s="198"/>
      <c r="J6" s="4"/>
    </row>
    <row r="7" spans="1:10" s="1" customFormat="1" ht="15.75" customHeight="1" thickBot="1" x14ac:dyDescent="0.25">
      <c r="A7" s="129" t="s">
        <v>0</v>
      </c>
      <c r="B7" s="30" t="s">
        <v>24</v>
      </c>
      <c r="C7" s="30" t="s">
        <v>25</v>
      </c>
      <c r="D7" s="30" t="s">
        <v>26</v>
      </c>
      <c r="E7" s="30" t="s">
        <v>22</v>
      </c>
      <c r="F7" s="30" t="s">
        <v>23</v>
      </c>
      <c r="G7" s="5"/>
      <c r="H7" s="77" t="s">
        <v>65</v>
      </c>
      <c r="I7" s="76" t="s">
        <v>88</v>
      </c>
      <c r="J7" s="4"/>
    </row>
    <row r="8" spans="1:10" s="1" customFormat="1" ht="27.75" customHeight="1" thickBot="1" x14ac:dyDescent="0.25">
      <c r="A8" s="106" t="s">
        <v>70</v>
      </c>
      <c r="B8" s="3" t="s">
        <v>84</v>
      </c>
      <c r="C8" s="3" t="s">
        <v>85</v>
      </c>
      <c r="D8" s="3"/>
      <c r="E8" s="3"/>
      <c r="F8" s="3"/>
      <c r="G8" s="5"/>
      <c r="H8" s="177" t="s">
        <v>17</v>
      </c>
      <c r="I8" s="179" t="s">
        <v>89</v>
      </c>
      <c r="J8" s="4"/>
    </row>
    <row r="9" spans="1:10" s="1" customFormat="1" ht="12" customHeight="1" thickBot="1" x14ac:dyDescent="0.25">
      <c r="A9" s="102">
        <v>1</v>
      </c>
      <c r="B9" s="154">
        <f>'Pumping Data'!G5</f>
        <v>0</v>
      </c>
      <c r="C9" s="155">
        <f>'Pumping Data'!I5</f>
        <v>0</v>
      </c>
      <c r="D9" s="103"/>
      <c r="E9" s="103"/>
      <c r="F9" s="103"/>
      <c r="G9" s="5"/>
      <c r="H9" s="178"/>
      <c r="I9" s="180"/>
      <c r="J9" s="4"/>
    </row>
    <row r="10" spans="1:10" s="2" customFormat="1" ht="12" customHeight="1" thickBot="1" x14ac:dyDescent="0.25">
      <c r="A10" s="12">
        <v>2</v>
      </c>
      <c r="B10" s="154">
        <f>'Pumping Data'!G6</f>
        <v>0</v>
      </c>
      <c r="C10" s="155">
        <f>'Pumping Data'!I6</f>
        <v>0</v>
      </c>
      <c r="D10" s="13"/>
      <c r="E10" s="13"/>
      <c r="F10" s="13"/>
      <c r="G10" s="9"/>
      <c r="H10" s="181" t="s">
        <v>15</v>
      </c>
      <c r="I10" s="64" t="s">
        <v>90</v>
      </c>
      <c r="J10" s="11"/>
    </row>
    <row r="11" spans="1:10" s="1" customFormat="1" ht="12" customHeight="1" thickBot="1" x14ac:dyDescent="0.25">
      <c r="A11" s="12">
        <v>3</v>
      </c>
      <c r="B11" s="154">
        <f>'Pumping Data'!G7</f>
        <v>0</v>
      </c>
      <c r="C11" s="155">
        <f>'Pumping Data'!I7</f>
        <v>0</v>
      </c>
      <c r="D11" s="13"/>
      <c r="E11" s="13"/>
      <c r="F11" s="13"/>
      <c r="G11" s="5"/>
      <c r="H11" s="182"/>
      <c r="I11" s="78" t="s">
        <v>91</v>
      </c>
      <c r="J11" s="4"/>
    </row>
    <row r="12" spans="1:10" s="1" customFormat="1" ht="12" customHeight="1" thickBot="1" x14ac:dyDescent="0.25">
      <c r="A12" s="12">
        <v>4</v>
      </c>
      <c r="B12" s="154">
        <f>'Pumping Data'!G8</f>
        <v>0</v>
      </c>
      <c r="C12" s="155">
        <f>'Pumping Data'!I8</f>
        <v>0</v>
      </c>
      <c r="D12" s="13"/>
      <c r="E12" s="13"/>
      <c r="F12" s="13"/>
      <c r="G12" s="5"/>
      <c r="H12" s="183"/>
      <c r="I12" s="79"/>
      <c r="J12" s="4"/>
    </row>
    <row r="13" spans="1:10" s="1" customFormat="1" ht="12" customHeight="1" thickBot="1" x14ac:dyDescent="0.25">
      <c r="A13" s="12">
        <v>5</v>
      </c>
      <c r="B13" s="154">
        <f>'Pumping Data'!G9</f>
        <v>0</v>
      </c>
      <c r="C13" s="155">
        <f>'Pumping Data'!I9</f>
        <v>0</v>
      </c>
      <c r="D13" s="13"/>
      <c r="E13" s="13"/>
      <c r="F13" s="13"/>
      <c r="G13" s="5"/>
      <c r="H13" s="8" t="s">
        <v>8</v>
      </c>
      <c r="I13" s="63" t="s">
        <v>92</v>
      </c>
      <c r="J13" s="4"/>
    </row>
    <row r="14" spans="1:10" s="1" customFormat="1" ht="12" customHeight="1" thickBot="1" x14ac:dyDescent="0.25">
      <c r="A14" s="12">
        <v>6</v>
      </c>
      <c r="B14" s="154">
        <f>'Pumping Data'!G10</f>
        <v>0</v>
      </c>
      <c r="C14" s="155">
        <f>'Pumping Data'!I10</f>
        <v>0</v>
      </c>
      <c r="D14" s="13"/>
      <c r="E14" s="13"/>
      <c r="F14" s="13"/>
      <c r="G14" s="5"/>
      <c r="H14" s="47" t="s">
        <v>1</v>
      </c>
      <c r="I14" s="14"/>
      <c r="J14" s="4"/>
    </row>
    <row r="15" spans="1:10" s="1" customFormat="1" ht="12" customHeight="1" thickBot="1" x14ac:dyDescent="0.25">
      <c r="A15" s="12">
        <v>7</v>
      </c>
      <c r="B15" s="154">
        <f>'Pumping Data'!G11</f>
        <v>0</v>
      </c>
      <c r="C15" s="155">
        <f>'Pumping Data'!I11</f>
        <v>0</v>
      </c>
      <c r="D15" s="13"/>
      <c r="E15" s="13"/>
      <c r="F15" s="13"/>
      <c r="G15" s="5"/>
      <c r="H15" s="48" t="s">
        <v>62</v>
      </c>
      <c r="I15" s="15"/>
      <c r="J15" s="4"/>
    </row>
    <row r="16" spans="1:10" s="1" customFormat="1" ht="12" customHeight="1" thickBot="1" x14ac:dyDescent="0.25">
      <c r="A16" s="12">
        <v>8</v>
      </c>
      <c r="B16" s="154">
        <f>'Pumping Data'!G12</f>
        <v>0</v>
      </c>
      <c r="C16" s="155">
        <f>'Pumping Data'!I12</f>
        <v>0</v>
      </c>
      <c r="D16" s="13"/>
      <c r="E16" s="13"/>
      <c r="F16" s="13"/>
      <c r="G16" s="5"/>
      <c r="H16" s="48" t="s">
        <v>66</v>
      </c>
      <c r="I16" s="15"/>
      <c r="J16" s="5"/>
    </row>
    <row r="17" spans="1:10" s="1" customFormat="1" ht="12" customHeight="1" thickBot="1" x14ac:dyDescent="0.25">
      <c r="A17" s="12">
        <v>9</v>
      </c>
      <c r="B17" s="154">
        <f>'Pumping Data'!G13</f>
        <v>0</v>
      </c>
      <c r="C17" s="155">
        <f>'Pumping Data'!I13</f>
        <v>0</v>
      </c>
      <c r="D17" s="13"/>
      <c r="E17" s="13"/>
      <c r="F17" s="13"/>
      <c r="G17" s="5"/>
      <c r="H17" s="48" t="s">
        <v>63</v>
      </c>
      <c r="I17" s="15"/>
      <c r="J17" s="5"/>
    </row>
    <row r="18" spans="1:10" s="1" customFormat="1" ht="12" customHeight="1" thickBot="1" x14ac:dyDescent="0.25">
      <c r="A18" s="12">
        <v>10</v>
      </c>
      <c r="B18" s="154">
        <f>'Pumping Data'!G14</f>
        <v>0</v>
      </c>
      <c r="C18" s="155">
        <f>'Pumping Data'!I14</f>
        <v>0</v>
      </c>
      <c r="D18" s="13"/>
      <c r="E18" s="13"/>
      <c r="F18" s="13"/>
      <c r="G18" s="5"/>
      <c r="H18" s="48" t="s">
        <v>64</v>
      </c>
      <c r="I18" s="15"/>
      <c r="J18" s="5"/>
    </row>
    <row r="19" spans="1:10" s="1" customFormat="1" ht="12" customHeight="1" thickBot="1" x14ac:dyDescent="0.25">
      <c r="A19" s="12">
        <v>11</v>
      </c>
      <c r="B19" s="154">
        <f>'Pumping Data'!G15</f>
        <v>0</v>
      </c>
      <c r="C19" s="155">
        <f>'Pumping Data'!I15</f>
        <v>0</v>
      </c>
      <c r="D19" s="13"/>
      <c r="E19" s="13"/>
      <c r="F19" s="13"/>
      <c r="G19" s="5"/>
      <c r="H19" s="48" t="s">
        <v>61</v>
      </c>
      <c r="I19" s="15"/>
      <c r="J19" s="5"/>
    </row>
    <row r="20" spans="1:10" s="1" customFormat="1" ht="12" customHeight="1" thickBot="1" x14ac:dyDescent="0.25">
      <c r="A20" s="12">
        <v>12</v>
      </c>
      <c r="B20" s="154">
        <f>'Pumping Data'!G16</f>
        <v>0</v>
      </c>
      <c r="C20" s="155">
        <f>'Pumping Data'!I16</f>
        <v>0</v>
      </c>
      <c r="D20" s="13"/>
      <c r="E20" s="13"/>
      <c r="F20" s="13"/>
      <c r="G20" s="5"/>
      <c r="H20" s="48" t="s">
        <v>68</v>
      </c>
      <c r="I20" s="15"/>
      <c r="J20" s="5"/>
    </row>
    <row r="21" spans="1:10" s="1" customFormat="1" ht="12" customHeight="1" thickBot="1" x14ac:dyDescent="0.25">
      <c r="A21" s="12">
        <v>13</v>
      </c>
      <c r="B21" s="154">
        <f>'Pumping Data'!G17</f>
        <v>0</v>
      </c>
      <c r="C21" s="155">
        <f>'Pumping Data'!I17</f>
        <v>0</v>
      </c>
      <c r="D21" s="13"/>
      <c r="E21" s="13"/>
      <c r="F21" s="13"/>
      <c r="G21" s="5"/>
      <c r="H21" s="49" t="s">
        <v>67</v>
      </c>
      <c r="I21" s="16"/>
      <c r="J21" s="5"/>
    </row>
    <row r="22" spans="1:10" s="1" customFormat="1" ht="12" customHeight="1" thickBot="1" x14ac:dyDescent="0.25">
      <c r="A22" s="12">
        <v>14</v>
      </c>
      <c r="B22" s="154">
        <f>'Pumping Data'!G18</f>
        <v>0</v>
      </c>
      <c r="C22" s="155">
        <f>'Pumping Data'!I18</f>
        <v>0</v>
      </c>
      <c r="D22" s="13"/>
      <c r="E22" s="13"/>
      <c r="F22" s="13"/>
      <c r="G22" s="5"/>
      <c r="H22" s="50" t="s">
        <v>49</v>
      </c>
      <c r="I22" s="17"/>
      <c r="J22" s="5"/>
    </row>
    <row r="23" spans="1:10" s="1" customFormat="1" ht="12" customHeight="1" thickBot="1" x14ac:dyDescent="0.25">
      <c r="A23" s="12">
        <v>15</v>
      </c>
      <c r="B23" s="154">
        <f>'Pumping Data'!G19</f>
        <v>0</v>
      </c>
      <c r="C23" s="155">
        <f>'Pumping Data'!I19</f>
        <v>0</v>
      </c>
      <c r="D23" s="13"/>
      <c r="E23" s="13"/>
      <c r="F23" s="13"/>
      <c r="G23" s="5"/>
      <c r="H23" s="51" t="s">
        <v>48</v>
      </c>
      <c r="I23" s="18"/>
      <c r="J23" s="5"/>
    </row>
    <row r="24" spans="1:10" s="1" customFormat="1" ht="12" customHeight="1" thickBot="1" x14ac:dyDescent="0.25">
      <c r="A24" s="12">
        <v>16</v>
      </c>
      <c r="B24" s="154">
        <f>'Pumping Data'!G20</f>
        <v>0</v>
      </c>
      <c r="C24" s="155">
        <f>'Pumping Data'!I20</f>
        <v>0</v>
      </c>
      <c r="D24" s="13"/>
      <c r="E24" s="13"/>
      <c r="F24" s="13"/>
      <c r="G24" s="5"/>
      <c r="H24" s="175"/>
      <c r="I24" s="176"/>
      <c r="J24" s="5"/>
    </row>
    <row r="25" spans="1:10" s="1" customFormat="1" ht="12" customHeight="1" thickBot="1" x14ac:dyDescent="0.25">
      <c r="A25" s="12">
        <v>17</v>
      </c>
      <c r="B25" s="154">
        <f>'Pumping Data'!G21</f>
        <v>0</v>
      </c>
      <c r="C25" s="155">
        <f>'Pumping Data'!I21</f>
        <v>0</v>
      </c>
      <c r="D25" s="13"/>
      <c r="E25" s="13"/>
      <c r="F25" s="13"/>
      <c r="G25" s="5"/>
      <c r="H25" s="175" t="s">
        <v>93</v>
      </c>
      <c r="I25" s="176"/>
      <c r="J25" s="5"/>
    </row>
    <row r="26" spans="1:10" s="1" customFormat="1" ht="12" customHeight="1" thickBot="1" x14ac:dyDescent="0.25">
      <c r="A26" s="12">
        <v>18</v>
      </c>
      <c r="B26" s="154">
        <f>'Pumping Data'!G22</f>
        <v>0</v>
      </c>
      <c r="C26" s="155">
        <f>'Pumping Data'!I22</f>
        <v>0</v>
      </c>
      <c r="D26" s="13"/>
      <c r="E26" s="13"/>
      <c r="F26" s="13"/>
      <c r="G26" s="5"/>
      <c r="H26" s="184" t="s">
        <v>51</v>
      </c>
      <c r="I26" s="185"/>
      <c r="J26" s="5"/>
    </row>
    <row r="27" spans="1:10" s="1" customFormat="1" ht="12" customHeight="1" thickBot="1" x14ac:dyDescent="0.25">
      <c r="A27" s="12">
        <v>19</v>
      </c>
      <c r="B27" s="154">
        <f>'Pumping Data'!G23</f>
        <v>0</v>
      </c>
      <c r="C27" s="155">
        <f>'Pumping Data'!I23</f>
        <v>0</v>
      </c>
      <c r="D27" s="13"/>
      <c r="E27" s="13"/>
      <c r="F27" s="13"/>
      <c r="G27" s="5"/>
      <c r="H27" s="175"/>
      <c r="I27" s="186"/>
      <c r="J27" s="5"/>
    </row>
    <row r="28" spans="1:10" s="1" customFormat="1" ht="12" customHeight="1" thickBot="1" x14ac:dyDescent="0.25">
      <c r="A28" s="12">
        <v>20</v>
      </c>
      <c r="B28" s="154">
        <f>'Pumping Data'!G24</f>
        <v>0</v>
      </c>
      <c r="C28" s="155">
        <f>'Pumping Data'!I24</f>
        <v>0</v>
      </c>
      <c r="D28" s="13"/>
      <c r="E28" s="13"/>
      <c r="F28" s="13"/>
      <c r="G28" s="5"/>
      <c r="H28" s="171"/>
      <c r="I28" s="172"/>
      <c r="J28" s="5"/>
    </row>
    <row r="29" spans="1:10" s="1" customFormat="1" ht="12" customHeight="1" thickBot="1" x14ac:dyDescent="0.25">
      <c r="A29" s="12">
        <v>21</v>
      </c>
      <c r="B29" s="154">
        <f>'Pumping Data'!G25</f>
        <v>0</v>
      </c>
      <c r="C29" s="155">
        <f>'Pumping Data'!I25</f>
        <v>0</v>
      </c>
      <c r="D29" s="13"/>
      <c r="E29" s="13"/>
      <c r="F29" s="13"/>
      <c r="G29" s="5"/>
      <c r="H29" s="173" t="s">
        <v>2</v>
      </c>
      <c r="I29" s="174"/>
      <c r="J29" s="5"/>
    </row>
    <row r="30" spans="1:10" s="1" customFormat="1" ht="12" customHeight="1" thickBot="1" x14ac:dyDescent="0.25">
      <c r="A30" s="12">
        <v>22</v>
      </c>
      <c r="B30" s="154">
        <f>'Pumping Data'!G26</f>
        <v>0</v>
      </c>
      <c r="C30" s="155">
        <f>'Pumping Data'!I26</f>
        <v>0</v>
      </c>
      <c r="D30" s="13"/>
      <c r="E30" s="13"/>
      <c r="F30" s="13"/>
      <c r="G30" s="5"/>
      <c r="H30" s="175"/>
      <c r="I30" s="186"/>
      <c r="J30" s="5"/>
    </row>
    <row r="31" spans="1:10" s="1" customFormat="1" ht="12" customHeight="1" thickBot="1" x14ac:dyDescent="0.25">
      <c r="A31" s="12">
        <v>23</v>
      </c>
      <c r="B31" s="154">
        <f>'Pumping Data'!G27</f>
        <v>0</v>
      </c>
      <c r="C31" s="155">
        <f>'Pumping Data'!I27</f>
        <v>0</v>
      </c>
      <c r="D31" s="13"/>
      <c r="E31" s="13"/>
      <c r="F31" s="13"/>
      <c r="G31" s="5"/>
      <c r="H31" s="171" t="s">
        <v>94</v>
      </c>
      <c r="I31" s="172"/>
      <c r="J31" s="5"/>
    </row>
    <row r="32" spans="1:10" s="1" customFormat="1" ht="12" customHeight="1" thickBot="1" x14ac:dyDescent="0.25">
      <c r="A32" s="12">
        <v>24</v>
      </c>
      <c r="B32" s="154">
        <f>'Pumping Data'!G28</f>
        <v>0</v>
      </c>
      <c r="C32" s="155">
        <f>'Pumping Data'!I28</f>
        <v>0</v>
      </c>
      <c r="D32" s="13"/>
      <c r="E32" s="13"/>
      <c r="F32" s="13"/>
      <c r="G32" s="5"/>
      <c r="H32" s="173" t="s">
        <v>3</v>
      </c>
      <c r="I32" s="174"/>
      <c r="J32" s="5"/>
    </row>
    <row r="33" spans="1:10" s="1" customFormat="1" ht="12" customHeight="1" thickBot="1" x14ac:dyDescent="0.25">
      <c r="A33" s="12">
        <v>25</v>
      </c>
      <c r="B33" s="154">
        <f>'Pumping Data'!G29</f>
        <v>0</v>
      </c>
      <c r="C33" s="155">
        <f>'Pumping Data'!I29</f>
        <v>0</v>
      </c>
      <c r="D33" s="13"/>
      <c r="E33" s="13"/>
      <c r="F33" s="13"/>
      <c r="G33" s="5"/>
      <c r="H33" s="175"/>
      <c r="I33" s="186"/>
      <c r="J33" s="19"/>
    </row>
    <row r="34" spans="1:10" s="1" customFormat="1" ht="12" customHeight="1" thickBot="1" x14ac:dyDescent="0.25">
      <c r="A34" s="12">
        <v>26</v>
      </c>
      <c r="B34" s="154">
        <f>'Pumping Data'!G30</f>
        <v>0</v>
      </c>
      <c r="C34" s="155">
        <f>'Pumping Data'!I30</f>
        <v>0</v>
      </c>
      <c r="D34" s="13"/>
      <c r="E34" s="13"/>
      <c r="F34" s="13"/>
      <c r="G34" s="5"/>
      <c r="H34" s="175" t="s">
        <v>95</v>
      </c>
      <c r="I34" s="186"/>
      <c r="J34" s="5"/>
    </row>
    <row r="35" spans="1:10" s="1" customFormat="1" ht="12" customHeight="1" thickBot="1" x14ac:dyDescent="0.25">
      <c r="A35" s="12">
        <v>27</v>
      </c>
      <c r="B35" s="154">
        <f>'Pumping Data'!G31</f>
        <v>0</v>
      </c>
      <c r="C35" s="155">
        <f>'Pumping Data'!I31</f>
        <v>0</v>
      </c>
      <c r="D35" s="13"/>
      <c r="E35" s="13"/>
      <c r="F35" s="13"/>
      <c r="G35" s="5"/>
      <c r="H35" s="173" t="s">
        <v>4</v>
      </c>
      <c r="I35" s="174"/>
      <c r="J35" s="4"/>
    </row>
    <row r="36" spans="1:10" s="1" customFormat="1" ht="12" customHeight="1" thickBot="1" x14ac:dyDescent="0.25">
      <c r="A36" s="12">
        <v>28</v>
      </c>
      <c r="B36" s="154">
        <f>'Pumping Data'!G32</f>
        <v>0</v>
      </c>
      <c r="C36" s="155">
        <f>'Pumping Data'!I32</f>
        <v>0</v>
      </c>
      <c r="D36" s="13"/>
      <c r="E36" s="13"/>
      <c r="F36" s="13"/>
      <c r="G36" s="5"/>
      <c r="H36" s="175" t="s">
        <v>96</v>
      </c>
      <c r="I36" s="186"/>
      <c r="J36" s="4"/>
    </row>
    <row r="37" spans="1:10" s="1" customFormat="1" ht="12" customHeight="1" thickBot="1" x14ac:dyDescent="0.25">
      <c r="A37" s="12">
        <v>29</v>
      </c>
      <c r="B37" s="154">
        <f>'Pumping Data'!G33</f>
        <v>0</v>
      </c>
      <c r="C37" s="155">
        <f>'Pumping Data'!I33</f>
        <v>0</v>
      </c>
      <c r="D37" s="13"/>
      <c r="E37" s="13"/>
      <c r="F37" s="13"/>
      <c r="G37" s="5"/>
      <c r="H37" s="173" t="s">
        <v>5</v>
      </c>
      <c r="I37" s="174"/>
      <c r="J37" s="4"/>
    </row>
    <row r="38" spans="1:10" s="1" customFormat="1" ht="12" customHeight="1" thickBot="1" x14ac:dyDescent="0.25">
      <c r="A38" s="12">
        <v>30</v>
      </c>
      <c r="B38" s="154">
        <f>'Pumping Data'!G34</f>
        <v>0</v>
      </c>
      <c r="C38" s="155">
        <f>'Pumping Data'!I34</f>
        <v>0</v>
      </c>
      <c r="D38" s="13"/>
      <c r="E38" s="13"/>
      <c r="F38" s="13"/>
      <c r="G38" s="5"/>
      <c r="H38" s="6"/>
      <c r="I38" s="7"/>
      <c r="J38" s="4"/>
    </row>
    <row r="39" spans="1:10" s="1" customFormat="1" ht="12" customHeight="1" thickBot="1" x14ac:dyDescent="0.25">
      <c r="A39" s="20">
        <v>31</v>
      </c>
      <c r="B39" s="154">
        <f>'Pumping Data'!G35</f>
        <v>0</v>
      </c>
      <c r="C39" s="155">
        <f>'Pumping Data'!I35</f>
        <v>0</v>
      </c>
      <c r="D39" s="21"/>
      <c r="E39" s="21"/>
      <c r="F39" s="21"/>
      <c r="G39" s="5"/>
      <c r="H39" s="171"/>
      <c r="I39" s="172"/>
      <c r="J39" s="4"/>
    </row>
    <row r="40" spans="1:10" s="1" customFormat="1" ht="14.85" customHeight="1" thickTop="1" thickBot="1" x14ac:dyDescent="0.25">
      <c r="A40" s="130" t="s">
        <v>18</v>
      </c>
      <c r="B40" s="156">
        <f>SUM(B9:B39)</f>
        <v>0</v>
      </c>
      <c r="C40" s="156">
        <f>SUM(C9:C39)</f>
        <v>0</v>
      </c>
      <c r="D40" s="22">
        <f t="shared" ref="D40:F40" si="0">SUM(D9:D39)/1000000</f>
        <v>0</v>
      </c>
      <c r="E40" s="22">
        <f t="shared" si="0"/>
        <v>0</v>
      </c>
      <c r="F40" s="22">
        <f t="shared" si="0"/>
        <v>0</v>
      </c>
      <c r="G40" s="5"/>
      <c r="H40" s="169" t="s">
        <v>7</v>
      </c>
      <c r="I40" s="170"/>
      <c r="J40" s="4"/>
    </row>
    <row r="41" spans="1:10" s="1" customFormat="1" ht="21.75" customHeight="1" thickBot="1" x14ac:dyDescent="0.25">
      <c r="A41" s="139" t="s">
        <v>19</v>
      </c>
      <c r="B41" s="157">
        <f>AVERAGE(B9:B39)</f>
        <v>0</v>
      </c>
      <c r="C41" s="157">
        <f>AVERAGE(C9:C39)</f>
        <v>0</v>
      </c>
      <c r="D41" s="24"/>
      <c r="E41" s="24"/>
      <c r="F41" s="24"/>
      <c r="G41" s="5"/>
      <c r="H41" s="52" t="s">
        <v>72</v>
      </c>
      <c r="I41" s="23"/>
      <c r="J41" s="4"/>
    </row>
    <row r="42" spans="1:10" s="1" customFormat="1" ht="21" customHeight="1" x14ac:dyDescent="0.2">
      <c r="A42" s="26" t="s">
        <v>10</v>
      </c>
      <c r="B42" s="5"/>
      <c r="C42" s="153">
        <f>SUM(B41:F41)</f>
        <v>0</v>
      </c>
      <c r="D42" s="27" t="s">
        <v>11</v>
      </c>
      <c r="E42" s="27"/>
      <c r="F42" s="5"/>
      <c r="G42" s="5"/>
      <c r="H42" s="53" t="s">
        <v>73</v>
      </c>
      <c r="I42" s="25"/>
      <c r="J42" s="4"/>
    </row>
    <row r="43" spans="1:10" s="1" customFormat="1" ht="15.6" customHeight="1" x14ac:dyDescent="0.2">
      <c r="A43" s="39" t="s">
        <v>69</v>
      </c>
      <c r="B43" s="29"/>
      <c r="C43" s="29"/>
      <c r="D43" s="29"/>
      <c r="E43" s="29"/>
      <c r="F43" s="29"/>
      <c r="G43" s="5"/>
      <c r="H43" s="54" t="s">
        <v>74</v>
      </c>
      <c r="I43" s="28"/>
      <c r="J43" s="4"/>
    </row>
    <row r="44" spans="1:10" s="1" customFormat="1" ht="15.6" customHeight="1" x14ac:dyDescent="0.2">
      <c r="B44" s="29"/>
      <c r="C44" s="29"/>
      <c r="D44" s="29"/>
      <c r="E44" s="29"/>
      <c r="F44" s="29"/>
      <c r="G44" s="5"/>
      <c r="H44" s="54" t="s">
        <v>75</v>
      </c>
      <c r="I44" s="28"/>
      <c r="J44" s="4"/>
    </row>
    <row r="45" spans="1:10" s="1" customFormat="1" ht="15.6" customHeight="1" x14ac:dyDescent="0.2">
      <c r="A45" s="131" t="s">
        <v>77</v>
      </c>
      <c r="B45" s="132"/>
      <c r="C45" s="132"/>
      <c r="D45" s="132"/>
      <c r="E45" s="132"/>
      <c r="F45" s="132"/>
      <c r="G45" s="5"/>
      <c r="H45" s="54" t="s">
        <v>76</v>
      </c>
      <c r="I45" s="28"/>
      <c r="J45" s="4"/>
    </row>
    <row r="46" spans="1:10" s="1" customFormat="1" ht="15.6" customHeight="1" x14ac:dyDescent="0.35">
      <c r="A46" s="140" t="s">
        <v>78</v>
      </c>
      <c r="B46" s="120"/>
      <c r="C46" s="120"/>
      <c r="D46" s="120"/>
      <c r="E46" s="120"/>
      <c r="F46" s="120"/>
      <c r="G46" s="121"/>
      <c r="H46" s="122"/>
      <c r="I46" s="122"/>
      <c r="J46" s="4"/>
    </row>
    <row r="47" spans="1:10" s="1" customFormat="1" ht="15.6" customHeight="1" x14ac:dyDescent="0.35">
      <c r="A47" s="140" t="s">
        <v>79</v>
      </c>
      <c r="B47" s="120"/>
      <c r="C47" s="120"/>
      <c r="D47" s="120"/>
      <c r="E47" s="120"/>
      <c r="F47" s="120"/>
      <c r="G47" s="121"/>
      <c r="H47" s="122"/>
      <c r="I47" s="122"/>
      <c r="J47" s="4"/>
    </row>
    <row r="48" spans="1:10" s="1" customFormat="1" ht="15.6" customHeight="1" x14ac:dyDescent="0.2">
      <c r="A48" s="140" t="s">
        <v>82</v>
      </c>
      <c r="B48" s="120"/>
      <c r="C48" s="120"/>
      <c r="D48" s="120"/>
      <c r="E48" s="120"/>
      <c r="F48" s="120"/>
      <c r="G48" s="121"/>
      <c r="H48" s="123"/>
      <c r="I48" s="123"/>
      <c r="J48" s="4"/>
    </row>
    <row r="49" spans="1:10" ht="15.6" customHeight="1" x14ac:dyDescent="0.2">
      <c r="A49" s="140" t="s">
        <v>83</v>
      </c>
      <c r="B49" s="120"/>
      <c r="C49" s="120"/>
      <c r="D49" s="120"/>
      <c r="E49" s="120"/>
      <c r="F49" s="120"/>
      <c r="G49" s="120"/>
      <c r="H49" s="124"/>
      <c r="I49" s="125"/>
      <c r="J49" s="29"/>
    </row>
    <row r="50" spans="1:10" s="105" customFormat="1" ht="18.75" customHeight="1" x14ac:dyDescent="0.3">
      <c r="A50" s="104" t="s">
        <v>59</v>
      </c>
      <c r="H50" s="107"/>
      <c r="I50" s="107"/>
    </row>
    <row r="51" spans="1:10" ht="21" thickBot="1" x14ac:dyDescent="0.35">
      <c r="A51" s="72" t="s">
        <v>60</v>
      </c>
      <c r="H51" s="107"/>
      <c r="I51" s="107"/>
    </row>
    <row r="52" spans="1:10" ht="30.75" customHeight="1" x14ac:dyDescent="0.35">
      <c r="A52" s="119" t="s">
        <v>80</v>
      </c>
      <c r="B52" s="80"/>
      <c r="C52" s="80"/>
      <c r="D52" s="80"/>
      <c r="E52" s="80"/>
      <c r="F52" s="127"/>
      <c r="G52" s="128"/>
      <c r="H52" s="127"/>
      <c r="I52" s="80"/>
      <c r="J52" s="29"/>
    </row>
    <row r="53" spans="1:10" ht="8.25" customHeight="1" thickBot="1" x14ac:dyDescent="0.4">
      <c r="A53" s="82"/>
      <c r="B53" s="83"/>
      <c r="C53" s="83"/>
      <c r="D53" s="83"/>
      <c r="E53" s="83"/>
      <c r="F53" s="83"/>
      <c r="G53" s="126"/>
      <c r="H53" s="81"/>
      <c r="I53" s="81"/>
      <c r="J53" s="29"/>
    </row>
    <row r="54" spans="1:10" ht="15" customHeight="1" x14ac:dyDescent="0.35">
      <c r="A54" s="58"/>
      <c r="B54" s="59"/>
      <c r="C54" s="59"/>
      <c r="D54" s="59"/>
      <c r="E54" s="59"/>
      <c r="F54" s="59"/>
      <c r="G54" s="61"/>
      <c r="H54" s="67"/>
      <c r="I54" s="108"/>
      <c r="J54" s="29"/>
    </row>
    <row r="55" spans="1:10" s="118" customFormat="1" ht="17.25" customHeight="1" x14ac:dyDescent="0.25">
      <c r="A55" s="109" t="s">
        <v>50</v>
      </c>
      <c r="B55" s="110"/>
      <c r="C55" s="111" t="s">
        <v>57</v>
      </c>
      <c r="D55" s="112"/>
      <c r="E55" s="111" t="s">
        <v>58</v>
      </c>
      <c r="F55" s="113"/>
      <c r="G55" s="114"/>
      <c r="H55" s="115"/>
      <c r="I55" s="116"/>
      <c r="J55" s="117"/>
    </row>
    <row r="56" spans="1:10" ht="15" customHeight="1" thickBot="1" x14ac:dyDescent="0.4">
      <c r="A56" s="65"/>
      <c r="B56" s="66"/>
      <c r="C56" s="66"/>
      <c r="D56" s="66"/>
      <c r="E56" s="66"/>
      <c r="F56" s="66"/>
      <c r="G56" s="60"/>
      <c r="H56" s="67"/>
      <c r="I56" s="55"/>
      <c r="J56" s="29"/>
    </row>
    <row r="57" spans="1:10" ht="15.95" customHeight="1" thickTop="1" thickBot="1" x14ac:dyDescent="0.25">
      <c r="A57" s="160" t="s">
        <v>52</v>
      </c>
      <c r="B57" s="68" t="s">
        <v>27</v>
      </c>
      <c r="C57" s="69" t="s">
        <v>28</v>
      </c>
      <c r="D57" s="68" t="s">
        <v>39</v>
      </c>
      <c r="E57" s="70" t="s">
        <v>28</v>
      </c>
      <c r="F57" s="92" t="s">
        <v>13</v>
      </c>
      <c r="G57" s="93"/>
      <c r="H57" s="163"/>
      <c r="I57" s="164"/>
      <c r="J57" s="29"/>
    </row>
    <row r="58" spans="1:10" ht="15.95" customHeight="1" thickBot="1" x14ac:dyDescent="0.25">
      <c r="A58" s="161"/>
      <c r="B58" s="37" t="s">
        <v>14</v>
      </c>
      <c r="C58" s="33"/>
      <c r="D58" s="89" t="s">
        <v>38</v>
      </c>
      <c r="E58" s="90"/>
      <c r="F58" s="90"/>
      <c r="G58" s="91"/>
      <c r="H58" s="165" t="s">
        <v>40</v>
      </c>
      <c r="I58" s="166"/>
      <c r="J58" s="29"/>
    </row>
    <row r="59" spans="1:10" ht="15.95" customHeight="1" thickBot="1" x14ac:dyDescent="0.25">
      <c r="A59" s="161"/>
      <c r="B59" s="35" t="s">
        <v>12</v>
      </c>
      <c r="C59" s="34" t="s">
        <v>28</v>
      </c>
      <c r="D59" s="40" t="s">
        <v>39</v>
      </c>
      <c r="E59" s="31" t="s">
        <v>28</v>
      </c>
      <c r="F59" s="94" t="s">
        <v>13</v>
      </c>
      <c r="G59" s="95"/>
      <c r="H59" s="167"/>
      <c r="I59" s="168"/>
      <c r="J59" s="29"/>
    </row>
    <row r="60" spans="1:10" ht="15.95" customHeight="1" thickBot="1" x14ac:dyDescent="0.25">
      <c r="A60" s="161"/>
      <c r="B60" s="35" t="s">
        <v>14</v>
      </c>
      <c r="C60" s="33"/>
      <c r="D60" s="89" t="s">
        <v>37</v>
      </c>
      <c r="E60" s="90"/>
      <c r="F60" s="90"/>
      <c r="G60" s="91"/>
      <c r="H60" s="165" t="s">
        <v>40</v>
      </c>
      <c r="I60" s="166"/>
      <c r="J60" s="29"/>
    </row>
    <row r="61" spans="1:10" ht="15.95" customHeight="1" thickBot="1" x14ac:dyDescent="0.25">
      <c r="A61" s="161"/>
      <c r="B61" s="35" t="s">
        <v>29</v>
      </c>
      <c r="C61" s="31" t="s">
        <v>30</v>
      </c>
      <c r="D61" s="36"/>
      <c r="E61" s="39" t="s">
        <v>31</v>
      </c>
      <c r="F61" s="87" t="s">
        <v>32</v>
      </c>
      <c r="G61" s="88"/>
      <c r="H61" s="31" t="s">
        <v>36</v>
      </c>
      <c r="I61" s="43"/>
      <c r="J61" s="29"/>
    </row>
    <row r="62" spans="1:10" ht="15.95" customHeight="1" thickBot="1" x14ac:dyDescent="0.25">
      <c r="A62" s="161"/>
      <c r="B62" s="71" t="s">
        <v>33</v>
      </c>
      <c r="C62" s="31" t="s">
        <v>34</v>
      </c>
      <c r="D62" s="36"/>
      <c r="E62" s="39" t="s">
        <v>35</v>
      </c>
      <c r="F62" s="85"/>
      <c r="G62" s="86"/>
      <c r="H62" s="31" t="s">
        <v>36</v>
      </c>
      <c r="I62" s="17"/>
      <c r="J62" s="29"/>
    </row>
    <row r="63" spans="1:10" ht="15.95" customHeight="1" thickTop="1" thickBot="1" x14ac:dyDescent="0.25">
      <c r="A63" s="160" t="s">
        <v>53</v>
      </c>
      <c r="B63" s="68" t="s">
        <v>27</v>
      </c>
      <c r="C63" s="69" t="s">
        <v>28</v>
      </c>
      <c r="D63" s="68" t="s">
        <v>39</v>
      </c>
      <c r="E63" s="70" t="s">
        <v>28</v>
      </c>
      <c r="F63" s="96" t="s">
        <v>13</v>
      </c>
      <c r="G63" s="97"/>
      <c r="H63" s="163"/>
      <c r="I63" s="164"/>
      <c r="J63" s="29"/>
    </row>
    <row r="64" spans="1:10" ht="15.95" customHeight="1" thickBot="1" x14ac:dyDescent="0.25">
      <c r="A64" s="161"/>
      <c r="B64" s="37" t="s">
        <v>14</v>
      </c>
      <c r="C64" s="33"/>
      <c r="D64" s="89" t="s">
        <v>38</v>
      </c>
      <c r="E64" s="90"/>
      <c r="F64" s="90"/>
      <c r="G64" s="91"/>
      <c r="H64" s="165" t="s">
        <v>40</v>
      </c>
      <c r="I64" s="166"/>
      <c r="J64" s="29"/>
    </row>
    <row r="65" spans="1:10" ht="15.95" customHeight="1" thickBot="1" x14ac:dyDescent="0.25">
      <c r="A65" s="161"/>
      <c r="B65" s="35" t="s">
        <v>12</v>
      </c>
      <c r="C65" s="34" t="s">
        <v>28</v>
      </c>
      <c r="D65" s="40" t="s">
        <v>39</v>
      </c>
      <c r="E65" s="31" t="s">
        <v>28</v>
      </c>
      <c r="F65" s="94" t="s">
        <v>13</v>
      </c>
      <c r="G65" s="95"/>
      <c r="H65" s="167"/>
      <c r="I65" s="168"/>
      <c r="J65" s="29"/>
    </row>
    <row r="66" spans="1:10" ht="15.95" customHeight="1" thickBot="1" x14ac:dyDescent="0.25">
      <c r="A66" s="161"/>
      <c r="B66" s="35" t="s">
        <v>14</v>
      </c>
      <c r="C66" s="33"/>
      <c r="D66" s="89" t="s">
        <v>37</v>
      </c>
      <c r="E66" s="90"/>
      <c r="F66" s="90"/>
      <c r="G66" s="91"/>
      <c r="H66" s="165" t="s">
        <v>40</v>
      </c>
      <c r="I66" s="166"/>
      <c r="J66" s="29"/>
    </row>
    <row r="67" spans="1:10" ht="15.95" customHeight="1" thickBot="1" x14ac:dyDescent="0.25">
      <c r="A67" s="161"/>
      <c r="B67" s="35" t="s">
        <v>29</v>
      </c>
      <c r="C67" s="31" t="s">
        <v>30</v>
      </c>
      <c r="D67" s="36"/>
      <c r="E67" s="39" t="s">
        <v>31</v>
      </c>
      <c r="F67" s="87" t="s">
        <v>32</v>
      </c>
      <c r="G67" s="88"/>
      <c r="H67" s="31" t="s">
        <v>36</v>
      </c>
      <c r="I67" s="43"/>
      <c r="J67" s="29"/>
    </row>
    <row r="68" spans="1:10" ht="15.95" customHeight="1" thickBot="1" x14ac:dyDescent="0.25">
      <c r="A68" s="161"/>
      <c r="B68" s="71" t="s">
        <v>33</v>
      </c>
      <c r="C68" s="31" t="s">
        <v>34</v>
      </c>
      <c r="D68" s="36"/>
      <c r="E68" s="39" t="s">
        <v>35</v>
      </c>
      <c r="F68" s="85"/>
      <c r="G68" s="86"/>
      <c r="H68" s="31" t="s">
        <v>36</v>
      </c>
      <c r="I68" s="17"/>
      <c r="J68" s="29"/>
    </row>
    <row r="69" spans="1:10" ht="15.95" customHeight="1" thickTop="1" thickBot="1" x14ac:dyDescent="0.25">
      <c r="A69" s="160" t="s">
        <v>54</v>
      </c>
      <c r="B69" s="68" t="s">
        <v>27</v>
      </c>
      <c r="C69" s="69" t="s">
        <v>28</v>
      </c>
      <c r="D69" s="68" t="s">
        <v>39</v>
      </c>
      <c r="E69" s="70" t="s">
        <v>28</v>
      </c>
      <c r="F69" s="96" t="s">
        <v>13</v>
      </c>
      <c r="G69" s="98"/>
      <c r="H69" s="163"/>
      <c r="I69" s="164"/>
      <c r="J69" s="29"/>
    </row>
    <row r="70" spans="1:10" ht="15.95" customHeight="1" thickBot="1" x14ac:dyDescent="0.25">
      <c r="A70" s="161"/>
      <c r="B70" s="37" t="s">
        <v>14</v>
      </c>
      <c r="C70" s="33"/>
      <c r="D70" s="89" t="s">
        <v>38</v>
      </c>
      <c r="E70" s="90"/>
      <c r="F70" s="90"/>
      <c r="G70" s="91"/>
      <c r="H70" s="165" t="s">
        <v>40</v>
      </c>
      <c r="I70" s="166"/>
      <c r="J70" s="29"/>
    </row>
    <row r="71" spans="1:10" ht="15.95" customHeight="1" thickBot="1" x14ac:dyDescent="0.25">
      <c r="A71" s="161"/>
      <c r="B71" s="35" t="s">
        <v>12</v>
      </c>
      <c r="C71" s="34" t="s">
        <v>28</v>
      </c>
      <c r="D71" s="40" t="s">
        <v>39</v>
      </c>
      <c r="E71" s="31" t="s">
        <v>28</v>
      </c>
      <c r="F71" s="94" t="s">
        <v>13</v>
      </c>
      <c r="G71" s="95"/>
      <c r="H71" s="167"/>
      <c r="I71" s="168"/>
      <c r="J71" s="29"/>
    </row>
    <row r="72" spans="1:10" ht="15.95" customHeight="1" thickBot="1" x14ac:dyDescent="0.25">
      <c r="A72" s="161"/>
      <c r="B72" s="35" t="s">
        <v>14</v>
      </c>
      <c r="C72" s="33"/>
      <c r="D72" s="89" t="s">
        <v>37</v>
      </c>
      <c r="E72" s="90"/>
      <c r="F72" s="90"/>
      <c r="G72" s="91"/>
      <c r="H72" s="165" t="s">
        <v>40</v>
      </c>
      <c r="I72" s="166"/>
      <c r="J72" s="29"/>
    </row>
    <row r="73" spans="1:10" ht="15.95" customHeight="1" thickBot="1" x14ac:dyDescent="0.25">
      <c r="A73" s="161"/>
      <c r="B73" s="35" t="s">
        <v>29</v>
      </c>
      <c r="C73" s="31" t="s">
        <v>30</v>
      </c>
      <c r="D73" s="36"/>
      <c r="E73" s="39" t="s">
        <v>31</v>
      </c>
      <c r="F73" s="87" t="s">
        <v>32</v>
      </c>
      <c r="G73" s="88"/>
      <c r="H73" s="31" t="s">
        <v>36</v>
      </c>
      <c r="I73" s="43"/>
      <c r="J73" s="29"/>
    </row>
    <row r="74" spans="1:10" ht="15.95" customHeight="1" thickBot="1" x14ac:dyDescent="0.25">
      <c r="A74" s="161"/>
      <c r="B74" s="71" t="s">
        <v>33</v>
      </c>
      <c r="C74" s="31" t="s">
        <v>34</v>
      </c>
      <c r="D74" s="36"/>
      <c r="E74" s="39" t="s">
        <v>35</v>
      </c>
      <c r="F74" s="85"/>
      <c r="G74" s="86"/>
      <c r="H74" s="31" t="s">
        <v>36</v>
      </c>
      <c r="I74" s="17"/>
      <c r="J74" s="29"/>
    </row>
    <row r="75" spans="1:10" ht="15.95" customHeight="1" thickTop="1" thickBot="1" x14ac:dyDescent="0.25">
      <c r="A75" s="160" t="s">
        <v>55</v>
      </c>
      <c r="B75" s="68" t="s">
        <v>27</v>
      </c>
      <c r="C75" s="69" t="s">
        <v>28</v>
      </c>
      <c r="D75" s="68" t="s">
        <v>39</v>
      </c>
      <c r="E75" s="70" t="s">
        <v>28</v>
      </c>
      <c r="F75" s="96" t="s">
        <v>13</v>
      </c>
      <c r="G75" s="98"/>
      <c r="H75" s="163"/>
      <c r="I75" s="164"/>
      <c r="J75" s="29"/>
    </row>
    <row r="76" spans="1:10" ht="15.95" customHeight="1" thickBot="1" x14ac:dyDescent="0.25">
      <c r="A76" s="161"/>
      <c r="B76" s="37" t="s">
        <v>14</v>
      </c>
      <c r="C76" s="33"/>
      <c r="D76" s="89" t="s">
        <v>38</v>
      </c>
      <c r="E76" s="90"/>
      <c r="F76" s="90"/>
      <c r="G76" s="91"/>
      <c r="H76" s="165" t="s">
        <v>40</v>
      </c>
      <c r="I76" s="166"/>
      <c r="J76" s="29"/>
    </row>
    <row r="77" spans="1:10" ht="15.95" customHeight="1" thickBot="1" x14ac:dyDescent="0.25">
      <c r="A77" s="161"/>
      <c r="B77" s="35" t="s">
        <v>12</v>
      </c>
      <c r="C77" s="34" t="s">
        <v>28</v>
      </c>
      <c r="D77" s="40" t="s">
        <v>39</v>
      </c>
      <c r="E77" s="31" t="s">
        <v>28</v>
      </c>
      <c r="F77" s="94" t="s">
        <v>13</v>
      </c>
      <c r="G77" s="95"/>
      <c r="H77" s="167"/>
      <c r="I77" s="168"/>
      <c r="J77" s="29"/>
    </row>
    <row r="78" spans="1:10" ht="15.95" customHeight="1" thickBot="1" x14ac:dyDescent="0.25">
      <c r="A78" s="161"/>
      <c r="B78" s="35" t="s">
        <v>14</v>
      </c>
      <c r="C78" s="33"/>
      <c r="D78" s="89" t="s">
        <v>37</v>
      </c>
      <c r="E78" s="90"/>
      <c r="F78" s="90"/>
      <c r="G78" s="91"/>
      <c r="H78" s="165" t="s">
        <v>40</v>
      </c>
      <c r="I78" s="166"/>
      <c r="J78" s="29"/>
    </row>
    <row r="79" spans="1:10" ht="15.95" customHeight="1" thickBot="1" x14ac:dyDescent="0.25">
      <c r="A79" s="161"/>
      <c r="B79" s="35" t="s">
        <v>29</v>
      </c>
      <c r="C79" s="31" t="s">
        <v>30</v>
      </c>
      <c r="D79" s="36"/>
      <c r="E79" s="39" t="s">
        <v>31</v>
      </c>
      <c r="F79" s="87" t="s">
        <v>32</v>
      </c>
      <c r="G79" s="88"/>
      <c r="H79" s="31" t="s">
        <v>36</v>
      </c>
      <c r="I79" s="43"/>
      <c r="J79" s="29"/>
    </row>
    <row r="80" spans="1:10" ht="15.95" customHeight="1" thickBot="1" x14ac:dyDescent="0.25">
      <c r="A80" s="161"/>
      <c r="B80" s="71" t="s">
        <v>33</v>
      </c>
      <c r="C80" s="31" t="s">
        <v>34</v>
      </c>
      <c r="D80" s="36"/>
      <c r="E80" s="39" t="s">
        <v>35</v>
      </c>
      <c r="F80" s="85"/>
      <c r="G80" s="86"/>
      <c r="H80" s="31" t="s">
        <v>36</v>
      </c>
      <c r="I80" s="17"/>
      <c r="J80" s="29"/>
    </row>
    <row r="81" spans="1:11" ht="15.95" customHeight="1" thickTop="1" thickBot="1" x14ac:dyDescent="0.25">
      <c r="A81" s="160" t="s">
        <v>56</v>
      </c>
      <c r="B81" s="68" t="s">
        <v>27</v>
      </c>
      <c r="C81" s="69" t="s">
        <v>28</v>
      </c>
      <c r="D81" s="68" t="s">
        <v>39</v>
      </c>
      <c r="E81" s="70" t="s">
        <v>28</v>
      </c>
      <c r="F81" s="96" t="s">
        <v>13</v>
      </c>
      <c r="G81" s="98"/>
      <c r="H81" s="163"/>
      <c r="I81" s="164"/>
      <c r="J81" s="29"/>
    </row>
    <row r="82" spans="1:11" ht="15.95" customHeight="1" thickBot="1" x14ac:dyDescent="0.25">
      <c r="A82" s="161"/>
      <c r="B82" s="37" t="s">
        <v>14</v>
      </c>
      <c r="C82" s="33"/>
      <c r="D82" s="89" t="s">
        <v>38</v>
      </c>
      <c r="E82" s="90"/>
      <c r="F82" s="90"/>
      <c r="G82" s="91"/>
      <c r="H82" s="165" t="s">
        <v>40</v>
      </c>
      <c r="I82" s="166"/>
      <c r="J82" s="29"/>
    </row>
    <row r="83" spans="1:11" ht="15.95" customHeight="1" thickBot="1" x14ac:dyDescent="0.25">
      <c r="A83" s="161"/>
      <c r="B83" s="35" t="s">
        <v>12</v>
      </c>
      <c r="C83" s="34" t="s">
        <v>28</v>
      </c>
      <c r="D83" s="40" t="s">
        <v>39</v>
      </c>
      <c r="E83" s="31" t="s">
        <v>28</v>
      </c>
      <c r="F83" s="94" t="s">
        <v>13</v>
      </c>
      <c r="G83" s="95"/>
      <c r="H83" s="167"/>
      <c r="I83" s="168"/>
      <c r="J83" s="29"/>
    </row>
    <row r="84" spans="1:11" ht="15.95" customHeight="1" thickBot="1" x14ac:dyDescent="0.25">
      <c r="A84" s="161"/>
      <c r="B84" s="35" t="s">
        <v>14</v>
      </c>
      <c r="C84" s="33"/>
      <c r="D84" s="89" t="s">
        <v>37</v>
      </c>
      <c r="E84" s="90"/>
      <c r="F84" s="90"/>
      <c r="G84" s="91"/>
      <c r="H84" s="165" t="s">
        <v>40</v>
      </c>
      <c r="I84" s="166"/>
      <c r="J84" s="29"/>
    </row>
    <row r="85" spans="1:11" ht="15.95" customHeight="1" thickBot="1" x14ac:dyDescent="0.25">
      <c r="A85" s="161"/>
      <c r="B85" s="35" t="s">
        <v>29</v>
      </c>
      <c r="C85" s="46" t="s">
        <v>30</v>
      </c>
      <c r="D85" s="45"/>
      <c r="E85" s="44" t="s">
        <v>31</v>
      </c>
      <c r="F85" s="87" t="s">
        <v>32</v>
      </c>
      <c r="G85" s="99"/>
      <c r="H85" s="46" t="s">
        <v>36</v>
      </c>
      <c r="I85" s="42"/>
      <c r="J85" s="29"/>
    </row>
    <row r="86" spans="1:11" ht="15.95" customHeight="1" thickBot="1" x14ac:dyDescent="0.25">
      <c r="A86" s="162"/>
      <c r="B86" s="35" t="s">
        <v>33</v>
      </c>
      <c r="C86" s="32" t="s">
        <v>34</v>
      </c>
      <c r="D86" s="38"/>
      <c r="E86" s="41" t="s">
        <v>35</v>
      </c>
      <c r="F86" s="100"/>
      <c r="G86" s="101"/>
      <c r="H86" s="32" t="s">
        <v>36</v>
      </c>
      <c r="I86" s="10"/>
      <c r="J86" s="29"/>
    </row>
    <row r="87" spans="1:11" ht="15.95" customHeight="1" x14ac:dyDescent="0.2">
      <c r="A87" s="29" t="s">
        <v>41</v>
      </c>
      <c r="B87" s="29"/>
      <c r="C87" s="29"/>
      <c r="D87" s="29"/>
      <c r="E87" s="29"/>
      <c r="F87" s="29"/>
      <c r="G87" s="29"/>
      <c r="H87" s="29"/>
      <c r="I87" s="29"/>
      <c r="J87" s="29"/>
    </row>
    <row r="88" spans="1:11" ht="15.75" customHeight="1" x14ac:dyDescent="0.2">
      <c r="A88" s="56" t="s">
        <v>45</v>
      </c>
      <c r="B88" s="57"/>
      <c r="C88" s="56" t="s">
        <v>44</v>
      </c>
      <c r="D88" s="62"/>
      <c r="E88" s="56" t="s">
        <v>43</v>
      </c>
      <c r="F88" s="62"/>
      <c r="G88" s="57"/>
      <c r="H88" s="56" t="s">
        <v>42</v>
      </c>
      <c r="I88" s="57"/>
      <c r="J88" s="29"/>
    </row>
    <row r="89" spans="1:11" ht="15.7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</row>
    <row r="90" spans="1:11" s="74" customFormat="1" ht="15.75" customHeight="1" x14ac:dyDescent="0.2">
      <c r="A90" s="133" t="s">
        <v>46</v>
      </c>
      <c r="B90" s="134"/>
      <c r="C90" s="135" t="s">
        <v>16</v>
      </c>
      <c r="D90" s="135" t="s">
        <v>13</v>
      </c>
      <c r="E90" s="136" t="s">
        <v>71</v>
      </c>
      <c r="F90" s="137"/>
      <c r="G90" s="136"/>
      <c r="H90" s="132" t="s">
        <v>47</v>
      </c>
      <c r="I90" s="138"/>
      <c r="J90" s="73"/>
      <c r="K90" s="73"/>
    </row>
    <row r="91" spans="1:11" s="74" customFormat="1" x14ac:dyDescent="0.2">
      <c r="A91" s="29"/>
      <c r="B91" s="27"/>
      <c r="C91" s="27"/>
      <c r="D91" s="27"/>
      <c r="E91" s="27"/>
      <c r="F91" s="27"/>
      <c r="G91" s="84"/>
      <c r="H91" s="27"/>
      <c r="I91" s="60"/>
      <c r="J91" s="73"/>
    </row>
    <row r="92" spans="1:11" x14ac:dyDescent="0.2">
      <c r="A92" s="29"/>
      <c r="B92" s="29"/>
      <c r="C92" s="29"/>
      <c r="D92" s="29"/>
      <c r="E92" s="29"/>
      <c r="F92" s="29"/>
      <c r="G92" s="27"/>
      <c r="H92" s="29"/>
      <c r="I92" s="27"/>
      <c r="J92" s="29"/>
    </row>
    <row r="93" spans="1:1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</row>
    <row r="94" spans="1:1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</row>
    <row r="95" spans="1:1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</row>
    <row r="96" spans="1:1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</row>
    <row r="97" spans="1:10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</row>
    <row r="98" spans="1:10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</row>
    <row r="99" spans="1:10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</row>
    <row r="100" spans="1:10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</row>
    <row r="101" spans="1:10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</row>
    <row r="102" spans="1:10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</row>
    <row r="103" spans="1:10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</row>
    <row r="104" spans="1:10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</row>
    <row r="105" spans="1:10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</row>
    <row r="106" spans="1:10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</row>
    <row r="107" spans="1:10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</row>
    <row r="108" spans="1:10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</row>
    <row r="109" spans="1:10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</row>
    <row r="110" spans="1:10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</row>
    <row r="111" spans="1:10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</row>
    <row r="112" spans="1:10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</row>
    <row r="113" spans="1:10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</row>
    <row r="114" spans="1:10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</row>
    <row r="115" spans="1:10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</row>
    <row r="116" spans="1:10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</row>
    <row r="117" spans="1:10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</row>
    <row r="118" spans="1:10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</row>
    <row r="119" spans="1:10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</row>
    <row r="120" spans="1:10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</row>
    <row r="121" spans="1:10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</row>
    <row r="122" spans="1:10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</row>
    <row r="123" spans="1:10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</row>
    <row r="124" spans="1:10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</row>
    <row r="125" spans="1:10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</row>
    <row r="126" spans="1:10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</row>
    <row r="127" spans="1:10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</row>
    <row r="128" spans="1:10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</row>
    <row r="129" spans="1:10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</row>
    <row r="130" spans="1:10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</row>
    <row r="131" spans="1:10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</row>
    <row r="132" spans="1:10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</row>
    <row r="133" spans="1:10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</row>
    <row r="134" spans="1:10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</row>
    <row r="135" spans="1:10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</row>
    <row r="136" spans="1:10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</row>
    <row r="137" spans="1:10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</row>
    <row r="138" spans="1:10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</row>
    <row r="139" spans="1:10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</row>
    <row r="140" spans="1:10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</row>
    <row r="141" spans="1:10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</row>
    <row r="142" spans="1:10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</row>
    <row r="143" spans="1:10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</row>
    <row r="144" spans="1:10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</row>
    <row r="145" spans="1:10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</row>
    <row r="146" spans="1:10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</row>
    <row r="147" spans="1:10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</row>
    <row r="148" spans="1:10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</row>
    <row r="149" spans="1:10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</row>
    <row r="150" spans="1:10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</row>
    <row r="151" spans="1:10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</row>
    <row r="152" spans="1:10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</row>
    <row r="153" spans="1:10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</row>
    <row r="154" spans="1:10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</row>
    <row r="155" spans="1:10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</row>
    <row r="156" spans="1:10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</row>
    <row r="157" spans="1:10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</row>
    <row r="158" spans="1:10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</row>
    <row r="159" spans="1:10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</row>
    <row r="160" spans="1:10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</row>
    <row r="161" spans="1:10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</row>
    <row r="162" spans="1:10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</row>
    <row r="163" spans="1:10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</row>
    <row r="164" spans="1:10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</row>
    <row r="165" spans="1:10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</row>
    <row r="166" spans="1:10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</row>
    <row r="167" spans="1:10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</row>
    <row r="168" spans="1:10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</row>
    <row r="169" spans="1:10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</row>
    <row r="170" spans="1:10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</row>
    <row r="171" spans="1:10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</row>
    <row r="172" spans="1:10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</row>
    <row r="173" spans="1:10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</row>
    <row r="174" spans="1:10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</row>
    <row r="175" spans="1:10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</row>
    <row r="176" spans="1:10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</row>
    <row r="177" spans="1:10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</row>
    <row r="178" spans="1:10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</row>
    <row r="179" spans="1:10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</row>
    <row r="180" spans="1:10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</row>
    <row r="181" spans="1:10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</row>
    <row r="182" spans="1:10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</row>
    <row r="183" spans="1:10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</row>
    <row r="184" spans="1:10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</row>
    <row r="185" spans="1:10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</row>
    <row r="186" spans="1:10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</row>
    <row r="187" spans="1:10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</row>
    <row r="188" spans="1:10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</row>
    <row r="189" spans="1:10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</row>
    <row r="190" spans="1:10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</row>
    <row r="191" spans="1:10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</row>
    <row r="192" spans="1:10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</row>
    <row r="193" spans="1:10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</row>
    <row r="194" spans="1:10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</row>
    <row r="195" spans="1:10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</row>
    <row r="196" spans="1:10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</row>
    <row r="197" spans="1:10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</row>
    <row r="198" spans="1:10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</row>
    <row r="199" spans="1:10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</row>
    <row r="200" spans="1:10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</row>
    <row r="201" spans="1:10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</row>
    <row r="202" spans="1:10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</row>
    <row r="203" spans="1:10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</row>
    <row r="204" spans="1:10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</row>
    <row r="205" spans="1:10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</row>
    <row r="206" spans="1:10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</row>
    <row r="207" spans="1:10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</row>
    <row r="208" spans="1:10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</row>
    <row r="209" spans="1:10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</row>
    <row r="210" spans="1:10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</row>
    <row r="211" spans="1:10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</row>
    <row r="212" spans="1:10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</row>
    <row r="213" spans="1:10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</row>
    <row r="214" spans="1:10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</row>
    <row r="215" spans="1:10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</row>
    <row r="216" spans="1:10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</row>
    <row r="217" spans="1:10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</row>
    <row r="218" spans="1:10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</row>
    <row r="219" spans="1:10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</row>
    <row r="220" spans="1:10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</row>
    <row r="221" spans="1:10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</row>
    <row r="222" spans="1:10" x14ac:dyDescent="0.2">
      <c r="G222" s="29"/>
      <c r="I222" s="29"/>
      <c r="J222" s="29"/>
    </row>
  </sheetData>
  <mergeCells count="51">
    <mergeCell ref="A3:F4"/>
    <mergeCell ref="A5:F5"/>
    <mergeCell ref="H5:H6"/>
    <mergeCell ref="I5:I6"/>
    <mergeCell ref="A6:F6"/>
    <mergeCell ref="H3:H4"/>
    <mergeCell ref="I3:I4"/>
    <mergeCell ref="H36:I36"/>
    <mergeCell ref="H34:I34"/>
    <mergeCell ref="H27:I27"/>
    <mergeCell ref="H33:I33"/>
    <mergeCell ref="H30:I30"/>
    <mergeCell ref="H32:I32"/>
    <mergeCell ref="H29:I29"/>
    <mergeCell ref="H31:I31"/>
    <mergeCell ref="H24:I24"/>
    <mergeCell ref="H25:I25"/>
    <mergeCell ref="H35:I35"/>
    <mergeCell ref="H28:I28"/>
    <mergeCell ref="H8:H9"/>
    <mergeCell ref="I8:I9"/>
    <mergeCell ref="H10:H12"/>
    <mergeCell ref="H26:I26"/>
    <mergeCell ref="H72:I72"/>
    <mergeCell ref="H77:I77"/>
    <mergeCell ref="H40:I40"/>
    <mergeCell ref="H39:I39"/>
    <mergeCell ref="H37:I37"/>
    <mergeCell ref="H57:I57"/>
    <mergeCell ref="H58:I58"/>
    <mergeCell ref="A57:A62"/>
    <mergeCell ref="H63:I63"/>
    <mergeCell ref="H64:I64"/>
    <mergeCell ref="H65:I65"/>
    <mergeCell ref="H76:I76"/>
    <mergeCell ref="A63:A68"/>
    <mergeCell ref="H66:I66"/>
    <mergeCell ref="A69:A74"/>
    <mergeCell ref="H69:I69"/>
    <mergeCell ref="H70:I70"/>
    <mergeCell ref="H71:I71"/>
    <mergeCell ref="A75:A80"/>
    <mergeCell ref="H59:I59"/>
    <mergeCell ref="H60:I60"/>
    <mergeCell ref="H78:I78"/>
    <mergeCell ref="H75:I75"/>
    <mergeCell ref="A81:A86"/>
    <mergeCell ref="H81:I81"/>
    <mergeCell ref="H82:I82"/>
    <mergeCell ref="H83:I83"/>
    <mergeCell ref="H84:I84"/>
  </mergeCells>
  <phoneticPr fontId="0" type="noConversion"/>
  <printOptions horizontalCentered="1" verticalCentered="1"/>
  <pageMargins left="0.25" right="0.25" top="0.25" bottom="0.25" header="0" footer="0"/>
  <pageSetup scale="84" orientation="landscape" r:id="rId1"/>
  <headerFooter alignWithMargins="0"/>
  <rowBreaks count="1" manualBreakCount="1">
    <brk id="49" max="8" man="1"/>
  </rowBreaks>
  <drawing r:id="rId2"/>
  <legacyDrawing r:id="rId3"/>
  <controls>
    <mc:AlternateContent xmlns:mc="http://schemas.openxmlformats.org/markup-compatibility/2006">
      <mc:Choice Requires="x14">
        <control shapeId="1050" r:id="rId4" name="CheckBox7">
          <controlPr defaultSize="0" autoLine="0" r:id="rId5">
            <anchor moveWithCells="1">
              <from>
                <xdr:col>3</xdr:col>
                <xdr:colOff>1066800</xdr:colOff>
                <xdr:row>66</xdr:row>
                <xdr:rowOff>19050</xdr:rowOff>
              </from>
              <to>
                <xdr:col>3</xdr:col>
                <xdr:colOff>1209675</xdr:colOff>
                <xdr:row>66</xdr:row>
                <xdr:rowOff>161925</xdr:rowOff>
              </to>
            </anchor>
          </controlPr>
        </control>
      </mc:Choice>
      <mc:Fallback>
        <control shapeId="1050" r:id="rId4" name="CheckBox7"/>
      </mc:Fallback>
    </mc:AlternateContent>
    <mc:AlternateContent xmlns:mc="http://schemas.openxmlformats.org/markup-compatibility/2006">
      <mc:Choice Requires="x14">
        <control shapeId="1051" r:id="rId6" name="CheckBox8">
          <controlPr defaultSize="0" autoLine="0" r:id="rId7">
            <anchor moveWithCells="1">
              <from>
                <xdr:col>3</xdr:col>
                <xdr:colOff>1066800</xdr:colOff>
                <xdr:row>67</xdr:row>
                <xdr:rowOff>19050</xdr:rowOff>
              </from>
              <to>
                <xdr:col>3</xdr:col>
                <xdr:colOff>1209675</xdr:colOff>
                <xdr:row>67</xdr:row>
                <xdr:rowOff>161925</xdr:rowOff>
              </to>
            </anchor>
          </controlPr>
        </control>
      </mc:Choice>
      <mc:Fallback>
        <control shapeId="1051" r:id="rId6" name="CheckBox8"/>
      </mc:Fallback>
    </mc:AlternateContent>
    <mc:AlternateContent xmlns:mc="http://schemas.openxmlformats.org/markup-compatibility/2006">
      <mc:Choice Requires="x14">
        <control shapeId="1053" r:id="rId8" name="CheckBox9">
          <controlPr defaultSize="0" autoLine="0" r:id="rId9">
            <anchor moveWithCells="1">
              <from>
                <xdr:col>7</xdr:col>
                <xdr:colOff>38100</xdr:colOff>
                <xdr:row>66</xdr:row>
                <xdr:rowOff>28575</xdr:rowOff>
              </from>
              <to>
                <xdr:col>7</xdr:col>
                <xdr:colOff>180975</xdr:colOff>
                <xdr:row>66</xdr:row>
                <xdr:rowOff>171450</xdr:rowOff>
              </to>
            </anchor>
          </controlPr>
        </control>
      </mc:Choice>
      <mc:Fallback>
        <control shapeId="1053" r:id="rId8" name="CheckBox9"/>
      </mc:Fallback>
    </mc:AlternateContent>
    <mc:AlternateContent xmlns:mc="http://schemas.openxmlformats.org/markup-compatibility/2006">
      <mc:Choice Requires="x14">
        <control shapeId="1054" r:id="rId10" name="CheckBox10">
          <controlPr defaultSize="0" autoLine="0" r:id="rId11">
            <anchor moveWithCells="1">
              <from>
                <xdr:col>7</xdr:col>
                <xdr:colOff>38100</xdr:colOff>
                <xdr:row>67</xdr:row>
                <xdr:rowOff>38100</xdr:rowOff>
              </from>
              <to>
                <xdr:col>7</xdr:col>
                <xdr:colOff>180975</xdr:colOff>
                <xdr:row>67</xdr:row>
                <xdr:rowOff>180975</xdr:rowOff>
              </to>
            </anchor>
          </controlPr>
        </control>
      </mc:Choice>
      <mc:Fallback>
        <control shapeId="1054" r:id="rId10" name="CheckBox10"/>
      </mc:Fallback>
    </mc:AlternateContent>
    <mc:AlternateContent xmlns:mc="http://schemas.openxmlformats.org/markup-compatibility/2006">
      <mc:Choice Requires="x14">
        <control shapeId="1055" r:id="rId12" name="CheckBox11">
          <controlPr defaultSize="0" autoLine="0" r:id="rId13">
            <anchor moveWithCells="1">
              <from>
                <xdr:col>2</xdr:col>
                <xdr:colOff>685800</xdr:colOff>
                <xdr:row>66</xdr:row>
                <xdr:rowOff>28575</xdr:rowOff>
              </from>
              <to>
                <xdr:col>2</xdr:col>
                <xdr:colOff>828675</xdr:colOff>
                <xdr:row>66</xdr:row>
                <xdr:rowOff>171450</xdr:rowOff>
              </to>
            </anchor>
          </controlPr>
        </control>
      </mc:Choice>
      <mc:Fallback>
        <control shapeId="1055" r:id="rId12" name="CheckBox11"/>
      </mc:Fallback>
    </mc:AlternateContent>
    <mc:AlternateContent xmlns:mc="http://schemas.openxmlformats.org/markup-compatibility/2006">
      <mc:Choice Requires="x14">
        <control shapeId="1056" r:id="rId14" name="CheckBox12">
          <controlPr defaultSize="0" autoLine="0" r:id="rId15">
            <anchor moveWithCells="1">
              <from>
                <xdr:col>2</xdr:col>
                <xdr:colOff>685800</xdr:colOff>
                <xdr:row>67</xdr:row>
                <xdr:rowOff>28575</xdr:rowOff>
              </from>
              <to>
                <xdr:col>2</xdr:col>
                <xdr:colOff>828675</xdr:colOff>
                <xdr:row>67</xdr:row>
                <xdr:rowOff>171450</xdr:rowOff>
              </to>
            </anchor>
          </controlPr>
        </control>
      </mc:Choice>
      <mc:Fallback>
        <control shapeId="1056" r:id="rId14" name="CheckBox12"/>
      </mc:Fallback>
    </mc:AlternateContent>
    <mc:AlternateContent xmlns:mc="http://schemas.openxmlformats.org/markup-compatibility/2006">
      <mc:Choice Requires="x14">
        <control shapeId="1058" r:id="rId16" name="CheckBox14">
          <controlPr defaultSize="0" autoLine="0" r:id="rId17">
            <anchor moveWithCells="1">
              <from>
                <xdr:col>5</xdr:col>
                <xdr:colOff>333375</xdr:colOff>
                <xdr:row>66</xdr:row>
                <xdr:rowOff>38100</xdr:rowOff>
              </from>
              <to>
                <xdr:col>5</xdr:col>
                <xdr:colOff>485775</xdr:colOff>
                <xdr:row>66</xdr:row>
                <xdr:rowOff>171450</xdr:rowOff>
              </to>
            </anchor>
          </controlPr>
        </control>
      </mc:Choice>
      <mc:Fallback>
        <control shapeId="1058" r:id="rId16" name="CheckBox14"/>
      </mc:Fallback>
    </mc:AlternateContent>
    <mc:AlternateContent xmlns:mc="http://schemas.openxmlformats.org/markup-compatibility/2006">
      <mc:Choice Requires="x14">
        <control shapeId="1079" r:id="rId18" name="CheckBox1">
          <controlPr defaultSize="0" autoLine="0" r:id="rId19">
            <anchor moveWithCells="1">
              <from>
                <xdr:col>3</xdr:col>
                <xdr:colOff>1066800</xdr:colOff>
                <xdr:row>60</xdr:row>
                <xdr:rowOff>19050</xdr:rowOff>
              </from>
              <to>
                <xdr:col>3</xdr:col>
                <xdr:colOff>1209675</xdr:colOff>
                <xdr:row>60</xdr:row>
                <xdr:rowOff>161925</xdr:rowOff>
              </to>
            </anchor>
          </controlPr>
        </control>
      </mc:Choice>
      <mc:Fallback>
        <control shapeId="1079" r:id="rId18" name="CheckBox1"/>
      </mc:Fallback>
    </mc:AlternateContent>
    <mc:AlternateContent xmlns:mc="http://schemas.openxmlformats.org/markup-compatibility/2006">
      <mc:Choice Requires="x14">
        <control shapeId="1080" r:id="rId20" name="CheckBox2">
          <controlPr defaultSize="0" autoLine="0" r:id="rId21">
            <anchor moveWithCells="1">
              <from>
                <xdr:col>3</xdr:col>
                <xdr:colOff>1066800</xdr:colOff>
                <xdr:row>61</xdr:row>
                <xdr:rowOff>19050</xdr:rowOff>
              </from>
              <to>
                <xdr:col>3</xdr:col>
                <xdr:colOff>1209675</xdr:colOff>
                <xdr:row>61</xdr:row>
                <xdr:rowOff>161925</xdr:rowOff>
              </to>
            </anchor>
          </controlPr>
        </control>
      </mc:Choice>
      <mc:Fallback>
        <control shapeId="1080" r:id="rId20" name="CheckBox2"/>
      </mc:Fallback>
    </mc:AlternateContent>
    <mc:AlternateContent xmlns:mc="http://schemas.openxmlformats.org/markup-compatibility/2006">
      <mc:Choice Requires="x14">
        <control shapeId="1081" r:id="rId22" name="CheckBox3">
          <controlPr defaultSize="0" autoLine="0" r:id="rId23">
            <anchor moveWithCells="1">
              <from>
                <xdr:col>7</xdr:col>
                <xdr:colOff>38100</xdr:colOff>
                <xdr:row>60</xdr:row>
                <xdr:rowOff>28575</xdr:rowOff>
              </from>
              <to>
                <xdr:col>7</xdr:col>
                <xdr:colOff>180975</xdr:colOff>
                <xdr:row>60</xdr:row>
                <xdr:rowOff>171450</xdr:rowOff>
              </to>
            </anchor>
          </controlPr>
        </control>
      </mc:Choice>
      <mc:Fallback>
        <control shapeId="1081" r:id="rId22" name="CheckBox3"/>
      </mc:Fallback>
    </mc:AlternateContent>
    <mc:AlternateContent xmlns:mc="http://schemas.openxmlformats.org/markup-compatibility/2006">
      <mc:Choice Requires="x14">
        <control shapeId="1082" r:id="rId24" name="CheckBox4">
          <controlPr defaultSize="0" autoLine="0" r:id="rId25">
            <anchor moveWithCells="1">
              <from>
                <xdr:col>7</xdr:col>
                <xdr:colOff>38100</xdr:colOff>
                <xdr:row>61</xdr:row>
                <xdr:rowOff>38100</xdr:rowOff>
              </from>
              <to>
                <xdr:col>7</xdr:col>
                <xdr:colOff>180975</xdr:colOff>
                <xdr:row>61</xdr:row>
                <xdr:rowOff>180975</xdr:rowOff>
              </to>
            </anchor>
          </controlPr>
        </control>
      </mc:Choice>
      <mc:Fallback>
        <control shapeId="1082" r:id="rId24" name="CheckBox4"/>
      </mc:Fallback>
    </mc:AlternateContent>
    <mc:AlternateContent xmlns:mc="http://schemas.openxmlformats.org/markup-compatibility/2006">
      <mc:Choice Requires="x14">
        <control shapeId="1083" r:id="rId26" name="CheckBox5">
          <controlPr defaultSize="0" autoLine="0" r:id="rId27">
            <anchor moveWithCells="1">
              <from>
                <xdr:col>2</xdr:col>
                <xdr:colOff>685800</xdr:colOff>
                <xdr:row>60</xdr:row>
                <xdr:rowOff>28575</xdr:rowOff>
              </from>
              <to>
                <xdr:col>2</xdr:col>
                <xdr:colOff>828675</xdr:colOff>
                <xdr:row>60</xdr:row>
                <xdr:rowOff>171450</xdr:rowOff>
              </to>
            </anchor>
          </controlPr>
        </control>
      </mc:Choice>
      <mc:Fallback>
        <control shapeId="1083" r:id="rId26" name="CheckBox5"/>
      </mc:Fallback>
    </mc:AlternateContent>
    <mc:AlternateContent xmlns:mc="http://schemas.openxmlformats.org/markup-compatibility/2006">
      <mc:Choice Requires="x14">
        <control shapeId="1084" r:id="rId28" name="CheckBox6">
          <controlPr defaultSize="0" autoLine="0" r:id="rId29">
            <anchor moveWithCells="1">
              <from>
                <xdr:col>2</xdr:col>
                <xdr:colOff>685800</xdr:colOff>
                <xdr:row>61</xdr:row>
                <xdr:rowOff>28575</xdr:rowOff>
              </from>
              <to>
                <xdr:col>2</xdr:col>
                <xdr:colOff>828675</xdr:colOff>
                <xdr:row>61</xdr:row>
                <xdr:rowOff>171450</xdr:rowOff>
              </to>
            </anchor>
          </controlPr>
        </control>
      </mc:Choice>
      <mc:Fallback>
        <control shapeId="1084" r:id="rId28" name="CheckBox6"/>
      </mc:Fallback>
    </mc:AlternateContent>
    <mc:AlternateContent xmlns:mc="http://schemas.openxmlformats.org/markup-compatibility/2006">
      <mc:Choice Requires="x14">
        <control shapeId="1085" r:id="rId30" name="CheckBox13">
          <controlPr defaultSize="0" autoLine="0" r:id="rId31">
            <anchor moveWithCells="1">
              <from>
                <xdr:col>5</xdr:col>
                <xdr:colOff>333375</xdr:colOff>
                <xdr:row>60</xdr:row>
                <xdr:rowOff>38100</xdr:rowOff>
              </from>
              <to>
                <xdr:col>5</xdr:col>
                <xdr:colOff>485775</xdr:colOff>
                <xdr:row>60</xdr:row>
                <xdr:rowOff>171450</xdr:rowOff>
              </to>
            </anchor>
          </controlPr>
        </control>
      </mc:Choice>
      <mc:Fallback>
        <control shapeId="1085" r:id="rId30" name="CheckBox13"/>
      </mc:Fallback>
    </mc:AlternateContent>
    <mc:AlternateContent xmlns:mc="http://schemas.openxmlformats.org/markup-compatibility/2006">
      <mc:Choice Requires="x14">
        <control shapeId="1086" r:id="rId32" name="CheckBox15">
          <controlPr defaultSize="0" autoLine="0" r:id="rId33">
            <anchor moveWithCells="1">
              <from>
                <xdr:col>3</xdr:col>
                <xdr:colOff>1066800</xdr:colOff>
                <xdr:row>72</xdr:row>
                <xdr:rowOff>19050</xdr:rowOff>
              </from>
              <to>
                <xdr:col>3</xdr:col>
                <xdr:colOff>1209675</xdr:colOff>
                <xdr:row>72</xdr:row>
                <xdr:rowOff>161925</xdr:rowOff>
              </to>
            </anchor>
          </controlPr>
        </control>
      </mc:Choice>
      <mc:Fallback>
        <control shapeId="1086" r:id="rId32" name="CheckBox15"/>
      </mc:Fallback>
    </mc:AlternateContent>
    <mc:AlternateContent xmlns:mc="http://schemas.openxmlformats.org/markup-compatibility/2006">
      <mc:Choice Requires="x14">
        <control shapeId="1087" r:id="rId34" name="CheckBox16">
          <controlPr defaultSize="0" autoLine="0" r:id="rId35">
            <anchor moveWithCells="1">
              <from>
                <xdr:col>3</xdr:col>
                <xdr:colOff>1066800</xdr:colOff>
                <xdr:row>73</xdr:row>
                <xdr:rowOff>19050</xdr:rowOff>
              </from>
              <to>
                <xdr:col>3</xdr:col>
                <xdr:colOff>1209675</xdr:colOff>
                <xdr:row>73</xdr:row>
                <xdr:rowOff>161925</xdr:rowOff>
              </to>
            </anchor>
          </controlPr>
        </control>
      </mc:Choice>
      <mc:Fallback>
        <control shapeId="1087" r:id="rId34" name="CheckBox16"/>
      </mc:Fallback>
    </mc:AlternateContent>
    <mc:AlternateContent xmlns:mc="http://schemas.openxmlformats.org/markup-compatibility/2006">
      <mc:Choice Requires="x14">
        <control shapeId="1088" r:id="rId36" name="CheckBox17">
          <controlPr defaultSize="0" autoLine="0" r:id="rId37">
            <anchor moveWithCells="1">
              <from>
                <xdr:col>7</xdr:col>
                <xdr:colOff>38100</xdr:colOff>
                <xdr:row>72</xdr:row>
                <xdr:rowOff>28575</xdr:rowOff>
              </from>
              <to>
                <xdr:col>7</xdr:col>
                <xdr:colOff>180975</xdr:colOff>
                <xdr:row>72</xdr:row>
                <xdr:rowOff>171450</xdr:rowOff>
              </to>
            </anchor>
          </controlPr>
        </control>
      </mc:Choice>
      <mc:Fallback>
        <control shapeId="1088" r:id="rId36" name="CheckBox17"/>
      </mc:Fallback>
    </mc:AlternateContent>
    <mc:AlternateContent xmlns:mc="http://schemas.openxmlformats.org/markup-compatibility/2006">
      <mc:Choice Requires="x14">
        <control shapeId="1089" r:id="rId38" name="CheckBox18">
          <controlPr defaultSize="0" autoLine="0" r:id="rId39">
            <anchor moveWithCells="1">
              <from>
                <xdr:col>7</xdr:col>
                <xdr:colOff>38100</xdr:colOff>
                <xdr:row>73</xdr:row>
                <xdr:rowOff>38100</xdr:rowOff>
              </from>
              <to>
                <xdr:col>7</xdr:col>
                <xdr:colOff>180975</xdr:colOff>
                <xdr:row>73</xdr:row>
                <xdr:rowOff>180975</xdr:rowOff>
              </to>
            </anchor>
          </controlPr>
        </control>
      </mc:Choice>
      <mc:Fallback>
        <control shapeId="1089" r:id="rId38" name="CheckBox18"/>
      </mc:Fallback>
    </mc:AlternateContent>
    <mc:AlternateContent xmlns:mc="http://schemas.openxmlformats.org/markup-compatibility/2006">
      <mc:Choice Requires="x14">
        <control shapeId="1090" r:id="rId40" name="CheckBox19">
          <controlPr defaultSize="0" autoLine="0" r:id="rId41">
            <anchor moveWithCells="1">
              <from>
                <xdr:col>2</xdr:col>
                <xdr:colOff>685800</xdr:colOff>
                <xdr:row>72</xdr:row>
                <xdr:rowOff>28575</xdr:rowOff>
              </from>
              <to>
                <xdr:col>2</xdr:col>
                <xdr:colOff>828675</xdr:colOff>
                <xdr:row>72</xdr:row>
                <xdr:rowOff>171450</xdr:rowOff>
              </to>
            </anchor>
          </controlPr>
        </control>
      </mc:Choice>
      <mc:Fallback>
        <control shapeId="1090" r:id="rId40" name="CheckBox19"/>
      </mc:Fallback>
    </mc:AlternateContent>
    <mc:AlternateContent xmlns:mc="http://schemas.openxmlformats.org/markup-compatibility/2006">
      <mc:Choice Requires="x14">
        <control shapeId="1091" r:id="rId42" name="CheckBox20">
          <controlPr defaultSize="0" autoLine="0" r:id="rId43">
            <anchor moveWithCells="1">
              <from>
                <xdr:col>2</xdr:col>
                <xdr:colOff>685800</xdr:colOff>
                <xdr:row>73</xdr:row>
                <xdr:rowOff>28575</xdr:rowOff>
              </from>
              <to>
                <xdr:col>2</xdr:col>
                <xdr:colOff>828675</xdr:colOff>
                <xdr:row>73</xdr:row>
                <xdr:rowOff>171450</xdr:rowOff>
              </to>
            </anchor>
          </controlPr>
        </control>
      </mc:Choice>
      <mc:Fallback>
        <control shapeId="1091" r:id="rId42" name="CheckBox20"/>
      </mc:Fallback>
    </mc:AlternateContent>
    <mc:AlternateContent xmlns:mc="http://schemas.openxmlformats.org/markup-compatibility/2006">
      <mc:Choice Requires="x14">
        <control shapeId="1092" r:id="rId44" name="CheckBox21">
          <controlPr defaultSize="0" autoLine="0" r:id="rId45">
            <anchor moveWithCells="1">
              <from>
                <xdr:col>5</xdr:col>
                <xdr:colOff>333375</xdr:colOff>
                <xdr:row>72</xdr:row>
                <xdr:rowOff>38100</xdr:rowOff>
              </from>
              <to>
                <xdr:col>5</xdr:col>
                <xdr:colOff>485775</xdr:colOff>
                <xdr:row>72</xdr:row>
                <xdr:rowOff>171450</xdr:rowOff>
              </to>
            </anchor>
          </controlPr>
        </control>
      </mc:Choice>
      <mc:Fallback>
        <control shapeId="1092" r:id="rId44" name="CheckBox21"/>
      </mc:Fallback>
    </mc:AlternateContent>
    <mc:AlternateContent xmlns:mc="http://schemas.openxmlformats.org/markup-compatibility/2006">
      <mc:Choice Requires="x14">
        <control shapeId="1093" r:id="rId46" name="CheckBox22">
          <controlPr defaultSize="0" autoLine="0" r:id="rId47">
            <anchor moveWithCells="1">
              <from>
                <xdr:col>3</xdr:col>
                <xdr:colOff>1066800</xdr:colOff>
                <xdr:row>78</xdr:row>
                <xdr:rowOff>19050</xdr:rowOff>
              </from>
              <to>
                <xdr:col>3</xdr:col>
                <xdr:colOff>1209675</xdr:colOff>
                <xdr:row>78</xdr:row>
                <xdr:rowOff>161925</xdr:rowOff>
              </to>
            </anchor>
          </controlPr>
        </control>
      </mc:Choice>
      <mc:Fallback>
        <control shapeId="1093" r:id="rId46" name="CheckBox22"/>
      </mc:Fallback>
    </mc:AlternateContent>
    <mc:AlternateContent xmlns:mc="http://schemas.openxmlformats.org/markup-compatibility/2006">
      <mc:Choice Requires="x14">
        <control shapeId="1094" r:id="rId48" name="CheckBox23">
          <controlPr defaultSize="0" autoLine="0" r:id="rId49">
            <anchor moveWithCells="1">
              <from>
                <xdr:col>3</xdr:col>
                <xdr:colOff>1066800</xdr:colOff>
                <xdr:row>79</xdr:row>
                <xdr:rowOff>19050</xdr:rowOff>
              </from>
              <to>
                <xdr:col>3</xdr:col>
                <xdr:colOff>1209675</xdr:colOff>
                <xdr:row>79</xdr:row>
                <xdr:rowOff>161925</xdr:rowOff>
              </to>
            </anchor>
          </controlPr>
        </control>
      </mc:Choice>
      <mc:Fallback>
        <control shapeId="1094" r:id="rId48" name="CheckBox23"/>
      </mc:Fallback>
    </mc:AlternateContent>
    <mc:AlternateContent xmlns:mc="http://schemas.openxmlformats.org/markup-compatibility/2006">
      <mc:Choice Requires="x14">
        <control shapeId="1095" r:id="rId50" name="CheckBox24">
          <controlPr defaultSize="0" autoLine="0" r:id="rId51">
            <anchor moveWithCells="1">
              <from>
                <xdr:col>7</xdr:col>
                <xdr:colOff>38100</xdr:colOff>
                <xdr:row>78</xdr:row>
                <xdr:rowOff>28575</xdr:rowOff>
              </from>
              <to>
                <xdr:col>7</xdr:col>
                <xdr:colOff>180975</xdr:colOff>
                <xdr:row>78</xdr:row>
                <xdr:rowOff>171450</xdr:rowOff>
              </to>
            </anchor>
          </controlPr>
        </control>
      </mc:Choice>
      <mc:Fallback>
        <control shapeId="1095" r:id="rId50" name="CheckBox24"/>
      </mc:Fallback>
    </mc:AlternateContent>
    <mc:AlternateContent xmlns:mc="http://schemas.openxmlformats.org/markup-compatibility/2006">
      <mc:Choice Requires="x14">
        <control shapeId="1096" r:id="rId52" name="CheckBox25">
          <controlPr defaultSize="0" autoLine="0" r:id="rId53">
            <anchor moveWithCells="1">
              <from>
                <xdr:col>7</xdr:col>
                <xdr:colOff>38100</xdr:colOff>
                <xdr:row>79</xdr:row>
                <xdr:rowOff>38100</xdr:rowOff>
              </from>
              <to>
                <xdr:col>7</xdr:col>
                <xdr:colOff>180975</xdr:colOff>
                <xdr:row>79</xdr:row>
                <xdr:rowOff>180975</xdr:rowOff>
              </to>
            </anchor>
          </controlPr>
        </control>
      </mc:Choice>
      <mc:Fallback>
        <control shapeId="1096" r:id="rId52" name="CheckBox25"/>
      </mc:Fallback>
    </mc:AlternateContent>
    <mc:AlternateContent xmlns:mc="http://schemas.openxmlformats.org/markup-compatibility/2006">
      <mc:Choice Requires="x14">
        <control shapeId="1097" r:id="rId54" name="CheckBox26">
          <controlPr defaultSize="0" autoLine="0" r:id="rId55">
            <anchor moveWithCells="1">
              <from>
                <xdr:col>2</xdr:col>
                <xdr:colOff>685800</xdr:colOff>
                <xdr:row>78</xdr:row>
                <xdr:rowOff>28575</xdr:rowOff>
              </from>
              <to>
                <xdr:col>2</xdr:col>
                <xdr:colOff>828675</xdr:colOff>
                <xdr:row>78</xdr:row>
                <xdr:rowOff>171450</xdr:rowOff>
              </to>
            </anchor>
          </controlPr>
        </control>
      </mc:Choice>
      <mc:Fallback>
        <control shapeId="1097" r:id="rId54" name="CheckBox26"/>
      </mc:Fallback>
    </mc:AlternateContent>
    <mc:AlternateContent xmlns:mc="http://schemas.openxmlformats.org/markup-compatibility/2006">
      <mc:Choice Requires="x14">
        <control shapeId="1098" r:id="rId56" name="CheckBox27">
          <controlPr defaultSize="0" autoLine="0" r:id="rId57">
            <anchor moveWithCells="1">
              <from>
                <xdr:col>2</xdr:col>
                <xdr:colOff>685800</xdr:colOff>
                <xdr:row>79</xdr:row>
                <xdr:rowOff>28575</xdr:rowOff>
              </from>
              <to>
                <xdr:col>2</xdr:col>
                <xdr:colOff>828675</xdr:colOff>
                <xdr:row>79</xdr:row>
                <xdr:rowOff>171450</xdr:rowOff>
              </to>
            </anchor>
          </controlPr>
        </control>
      </mc:Choice>
      <mc:Fallback>
        <control shapeId="1098" r:id="rId56" name="CheckBox27"/>
      </mc:Fallback>
    </mc:AlternateContent>
    <mc:AlternateContent xmlns:mc="http://schemas.openxmlformats.org/markup-compatibility/2006">
      <mc:Choice Requires="x14">
        <control shapeId="1099" r:id="rId58" name="CheckBox28">
          <controlPr defaultSize="0" autoLine="0" r:id="rId59">
            <anchor moveWithCells="1">
              <from>
                <xdr:col>5</xdr:col>
                <xdr:colOff>333375</xdr:colOff>
                <xdr:row>78</xdr:row>
                <xdr:rowOff>38100</xdr:rowOff>
              </from>
              <to>
                <xdr:col>5</xdr:col>
                <xdr:colOff>485775</xdr:colOff>
                <xdr:row>78</xdr:row>
                <xdr:rowOff>171450</xdr:rowOff>
              </to>
            </anchor>
          </controlPr>
        </control>
      </mc:Choice>
      <mc:Fallback>
        <control shapeId="1099" r:id="rId58" name="CheckBox28"/>
      </mc:Fallback>
    </mc:AlternateContent>
    <mc:AlternateContent xmlns:mc="http://schemas.openxmlformats.org/markup-compatibility/2006">
      <mc:Choice Requires="x14">
        <control shapeId="1100" r:id="rId60" name="CheckBox29">
          <controlPr defaultSize="0" autoLine="0" r:id="rId61">
            <anchor moveWithCells="1">
              <from>
                <xdr:col>3</xdr:col>
                <xdr:colOff>1066800</xdr:colOff>
                <xdr:row>84</xdr:row>
                <xdr:rowOff>19050</xdr:rowOff>
              </from>
              <to>
                <xdr:col>3</xdr:col>
                <xdr:colOff>1209675</xdr:colOff>
                <xdr:row>84</xdr:row>
                <xdr:rowOff>161925</xdr:rowOff>
              </to>
            </anchor>
          </controlPr>
        </control>
      </mc:Choice>
      <mc:Fallback>
        <control shapeId="1100" r:id="rId60" name="CheckBox29"/>
      </mc:Fallback>
    </mc:AlternateContent>
    <mc:AlternateContent xmlns:mc="http://schemas.openxmlformats.org/markup-compatibility/2006">
      <mc:Choice Requires="x14">
        <control shapeId="1101" r:id="rId62" name="CheckBox30">
          <controlPr defaultSize="0" autoLine="0" r:id="rId63">
            <anchor moveWithCells="1">
              <from>
                <xdr:col>3</xdr:col>
                <xdr:colOff>1066800</xdr:colOff>
                <xdr:row>85</xdr:row>
                <xdr:rowOff>19050</xdr:rowOff>
              </from>
              <to>
                <xdr:col>3</xdr:col>
                <xdr:colOff>1209675</xdr:colOff>
                <xdr:row>85</xdr:row>
                <xdr:rowOff>161925</xdr:rowOff>
              </to>
            </anchor>
          </controlPr>
        </control>
      </mc:Choice>
      <mc:Fallback>
        <control shapeId="1101" r:id="rId62" name="CheckBox30"/>
      </mc:Fallback>
    </mc:AlternateContent>
    <mc:AlternateContent xmlns:mc="http://schemas.openxmlformats.org/markup-compatibility/2006">
      <mc:Choice Requires="x14">
        <control shapeId="1102" r:id="rId64" name="CheckBox31">
          <controlPr defaultSize="0" autoLine="0" r:id="rId65">
            <anchor moveWithCells="1">
              <from>
                <xdr:col>7</xdr:col>
                <xdr:colOff>38100</xdr:colOff>
                <xdr:row>84</xdr:row>
                <xdr:rowOff>28575</xdr:rowOff>
              </from>
              <to>
                <xdr:col>7</xdr:col>
                <xdr:colOff>180975</xdr:colOff>
                <xdr:row>84</xdr:row>
                <xdr:rowOff>171450</xdr:rowOff>
              </to>
            </anchor>
          </controlPr>
        </control>
      </mc:Choice>
      <mc:Fallback>
        <control shapeId="1102" r:id="rId64" name="CheckBox31"/>
      </mc:Fallback>
    </mc:AlternateContent>
    <mc:AlternateContent xmlns:mc="http://schemas.openxmlformats.org/markup-compatibility/2006">
      <mc:Choice Requires="x14">
        <control shapeId="1103" r:id="rId66" name="CheckBox32">
          <controlPr defaultSize="0" autoLine="0" r:id="rId67">
            <anchor moveWithCells="1">
              <from>
                <xdr:col>7</xdr:col>
                <xdr:colOff>38100</xdr:colOff>
                <xdr:row>85</xdr:row>
                <xdr:rowOff>38100</xdr:rowOff>
              </from>
              <to>
                <xdr:col>7</xdr:col>
                <xdr:colOff>180975</xdr:colOff>
                <xdr:row>85</xdr:row>
                <xdr:rowOff>180975</xdr:rowOff>
              </to>
            </anchor>
          </controlPr>
        </control>
      </mc:Choice>
      <mc:Fallback>
        <control shapeId="1103" r:id="rId66" name="CheckBox32"/>
      </mc:Fallback>
    </mc:AlternateContent>
    <mc:AlternateContent xmlns:mc="http://schemas.openxmlformats.org/markup-compatibility/2006">
      <mc:Choice Requires="x14">
        <control shapeId="1104" r:id="rId68" name="CheckBox33">
          <controlPr defaultSize="0" autoLine="0" r:id="rId69">
            <anchor moveWithCells="1">
              <from>
                <xdr:col>2</xdr:col>
                <xdr:colOff>685800</xdr:colOff>
                <xdr:row>84</xdr:row>
                <xdr:rowOff>28575</xdr:rowOff>
              </from>
              <to>
                <xdr:col>2</xdr:col>
                <xdr:colOff>828675</xdr:colOff>
                <xdr:row>84</xdr:row>
                <xdr:rowOff>171450</xdr:rowOff>
              </to>
            </anchor>
          </controlPr>
        </control>
      </mc:Choice>
      <mc:Fallback>
        <control shapeId="1104" r:id="rId68" name="CheckBox33"/>
      </mc:Fallback>
    </mc:AlternateContent>
    <mc:AlternateContent xmlns:mc="http://schemas.openxmlformats.org/markup-compatibility/2006">
      <mc:Choice Requires="x14">
        <control shapeId="1105" r:id="rId70" name="CheckBox34">
          <controlPr defaultSize="0" autoLine="0" r:id="rId71">
            <anchor moveWithCells="1">
              <from>
                <xdr:col>2</xdr:col>
                <xdr:colOff>685800</xdr:colOff>
                <xdr:row>85</xdr:row>
                <xdr:rowOff>28575</xdr:rowOff>
              </from>
              <to>
                <xdr:col>2</xdr:col>
                <xdr:colOff>828675</xdr:colOff>
                <xdr:row>85</xdr:row>
                <xdr:rowOff>171450</xdr:rowOff>
              </to>
            </anchor>
          </controlPr>
        </control>
      </mc:Choice>
      <mc:Fallback>
        <control shapeId="1105" r:id="rId70" name="CheckBox34"/>
      </mc:Fallback>
    </mc:AlternateContent>
    <mc:AlternateContent xmlns:mc="http://schemas.openxmlformats.org/markup-compatibility/2006">
      <mc:Choice Requires="x14">
        <control shapeId="1106" r:id="rId72" name="CheckBox35">
          <controlPr defaultSize="0" autoLine="0" r:id="rId73">
            <anchor moveWithCells="1">
              <from>
                <xdr:col>5</xdr:col>
                <xdr:colOff>333375</xdr:colOff>
                <xdr:row>84</xdr:row>
                <xdr:rowOff>38100</xdr:rowOff>
              </from>
              <to>
                <xdr:col>5</xdr:col>
                <xdr:colOff>485775</xdr:colOff>
                <xdr:row>84</xdr:row>
                <xdr:rowOff>171450</xdr:rowOff>
              </to>
            </anchor>
          </controlPr>
        </control>
      </mc:Choice>
      <mc:Fallback>
        <control shapeId="1106" r:id="rId72" name="CheckBox3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Pumping Data</vt:lpstr>
      <vt:lpstr>Monthly Withdrawal Report</vt:lpstr>
      <vt:lpstr>'Monthly Withdrawal Report'!Print_Area</vt:lpstr>
    </vt:vector>
  </TitlesOfParts>
  <Company>Ga. Dept of Natural Resource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 DNR</dc:creator>
  <cp:lastModifiedBy>Kim Abbott</cp:lastModifiedBy>
  <cp:lastPrinted>2015-09-24T14:36:49Z</cp:lastPrinted>
  <dcterms:created xsi:type="dcterms:W3CDTF">2002-12-17T16:53:32Z</dcterms:created>
  <dcterms:modified xsi:type="dcterms:W3CDTF">2026-04-23T19:09:58Z</dcterms:modified>
</cp:coreProperties>
</file>